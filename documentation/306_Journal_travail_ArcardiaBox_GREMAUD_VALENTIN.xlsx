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11207"/>
  <workbookPr checkCompatibility="1"/>
  <mc:AlternateContent xmlns:mc="http://schemas.openxmlformats.org/markup-compatibility/2006">
    <mc:Choice Requires="x15">
      <x15ac:absPath xmlns:x15ac="http://schemas.microsoft.com/office/spreadsheetml/2010/11/ac" url="/Users/valentingremaud/Documents/EMF/INFO/Modules/306/306-project-groupe-2-2/documentation/"/>
    </mc:Choice>
  </mc:AlternateContent>
  <xr:revisionPtr revIDLastSave="0" documentId="13_ncr:1_{C61C8AB7-C0FC-D446-BB6D-20DCD431EE65}" xr6:coauthVersionLast="47" xr6:coauthVersionMax="47" xr10:uidLastSave="{00000000-0000-0000-0000-000000000000}"/>
  <bookViews>
    <workbookView xWindow="0" yWindow="680" windowWidth="30240" windowHeight="17460" xr2:uid="{00000000-000D-0000-FFFF-FFFF00000000}"/>
  </bookViews>
  <sheets>
    <sheet name="Journal" sheetId="8" r:id="rId1"/>
  </sheets>
  <definedNames>
    <definedName name="_xlnm.Print_Area" localSheetId="0">Journal!$A$1:$D$61</definedName>
    <definedName name="_xlnm.Print_Titles" localSheetId="0">Journal!$B:$D,Journal!$1:$5</definedName>
  </definedNames>
  <calcPr calcId="191028" concurrentCalc="0"/>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66" i="8" l="1"/>
  <c r="D70" i="8"/>
  <c r="D74" i="8"/>
  <c r="D55" i="8"/>
  <c r="D59" i="8"/>
  <c r="D51" i="8"/>
  <c r="D75" i="8"/>
  <c r="D17" i="8"/>
  <c r="D9" i="8"/>
  <c r="D13" i="8"/>
  <c r="D18" i="8"/>
  <c r="D23" i="8"/>
  <c r="D27" i="8"/>
  <c r="D31" i="8"/>
  <c r="D32" i="8"/>
  <c r="D37" i="8"/>
  <c r="D41" i="8"/>
  <c r="D45" i="8"/>
  <c r="D46" i="8"/>
  <c r="D60" i="8"/>
  <c r="D76" i="8"/>
</calcChain>
</file>

<file path=xl/sharedStrings.xml><?xml version="1.0" encoding="utf-8"?>
<sst xmlns="http://schemas.openxmlformats.org/spreadsheetml/2006/main" count="79" uniqueCount="52">
  <si>
    <t>Gremaud Valentin</t>
  </si>
  <si>
    <t>Problème</t>
  </si>
  <si>
    <t>Solution</t>
  </si>
  <si>
    <t>Date</t>
  </si>
  <si>
    <t>Travail effectué</t>
  </si>
  <si>
    <t>Temps</t>
  </si>
  <si>
    <t>Absence</t>
  </si>
  <si>
    <t>[H.h]</t>
  </si>
  <si>
    <t>Rencontre</t>
  </si>
  <si>
    <t>Total &gt;</t>
  </si>
  <si>
    <r>
      <t xml:space="preserve">Réflexion personnelle hebdomadaire </t>
    </r>
    <r>
      <rPr>
        <sz val="8"/>
        <rFont val="Calibri"/>
        <family val="2"/>
      </rPr>
      <t>↓↓↓</t>
    </r>
  </si>
  <si>
    <t>Total de la semaine &gt;</t>
  </si>
  <si>
    <t>Total général &gt;</t>
  </si>
  <si>
    <r>
      <t>Projet :</t>
    </r>
    <r>
      <rPr>
        <b/>
        <sz val="14"/>
        <color rgb="FF000000"/>
        <rFont val="Arial"/>
        <family val="2"/>
      </rPr>
      <t xml:space="preserve"> ArcadiaBox</t>
    </r>
  </si>
  <si>
    <t>Férié</t>
  </si>
  <si>
    <t>Documentation initiale : planification et architecture</t>
  </si>
  <si>
    <t>Configuration Raspberry Pi / serveur (aide à Diogo)</t>
  </si>
  <si>
    <t>Validation des différentes tâches terminé par mes collègues</t>
  </si>
  <si>
    <t>J'ai bien bossé aujourd'hui, je crois avoir bien rempli mon travail de product owner en ayant défini l'objectif de notre sprint et m'étant assuré que chacun ait du travail. J'ai peu codé ou travaillé concrètement sur le projet hors mis que j'ai aidé diogo dans la config.</t>
  </si>
  <si>
    <t>Documentation de la conception</t>
  </si>
  <si>
    <t>Configuration de la Raspberry</t>
  </si>
  <si>
    <t>Installation du serveur web sur la raspberry</t>
  </si>
  <si>
    <t>Déploiement sur la raspberry du PACMAN</t>
  </si>
  <si>
    <t>Test du jeu déployé (Bug de fluidité)</t>
  </si>
  <si>
    <t>Changement d'OS sur la raspberry pour optimiser la fluidité</t>
  </si>
  <si>
    <t>Lecture du cahier des charges</t>
  </si>
  <si>
    <t>Création d'un business case</t>
  </si>
  <si>
    <t>Rencontre avec le client (kick-off)</t>
  </si>
  <si>
    <t>Préparation de la rencontre avec client</t>
  </si>
  <si>
    <t>Documentation initiale</t>
  </si>
  <si>
    <t>Aide à Axelle pour le planning</t>
  </si>
  <si>
    <t>Users stories et product backlog</t>
  </si>
  <si>
    <t>C'était la semaine de lancement du projet donc je n'ai pas forcément fait énormément de travail mais j'ai surtout réfléchi comment mener à bien le projet de la meilleure manière.</t>
  </si>
  <si>
    <t>Test du jeu (validation des critères)</t>
  </si>
  <si>
    <t>Préparation du sprint suivant</t>
  </si>
  <si>
    <t>Séance scrum et planning</t>
  </si>
  <si>
    <t>Cette semaine, j'ai géré mon travail de product owner de la bonne manière je pense, mes collègues avaient toujours du boulot grâce à cela. J'ai bien suivi leur travail aussi afin de livrer la MVP. Je pense que je peux continuer comme ça.</t>
  </si>
  <si>
    <t>Documentation</t>
  </si>
  <si>
    <t>Mise en place de la raspberry sur grand écran</t>
  </si>
  <si>
    <t>Planification du sprint</t>
  </si>
  <si>
    <t>Test de l'arcade et contrôle des objectifs du business case</t>
  </si>
  <si>
    <t>Changer la résolution en 1920x1080 sur la rapsberry</t>
  </si>
  <si>
    <t>Doc</t>
  </si>
  <si>
    <t>Discussion de nouvelles fonctionnalités</t>
  </si>
  <si>
    <t>Validation et coordination des nouvelles tâches lié aux nouvelles fonctionnalités</t>
  </si>
  <si>
    <t>Cette semaine, j'ai moins eu de travail vraiment concret, c'était beaucoup consacré à tester l'app. J'ai donc fait pas mal de tests selon le protocole de test afin de valider la qualité et la cohérence par rapport aux cahier des charges. J'ai aussi à toujours plutôt bien coordonner le travail de mes collègues, j'étais un peu moins à travailler mais à beaucoup coordonner cette semaine.</t>
  </si>
  <si>
    <t>Présentation</t>
  </si>
  <si>
    <t>Finition des différentes choses pour le rendu du projet</t>
  </si>
  <si>
    <t>Préparation de la présentation</t>
  </si>
  <si>
    <t>Validation des derniers travaux fait</t>
  </si>
  <si>
    <t>Coordination du travail dans le projet</t>
  </si>
  <si>
    <t>Cette semaine, c'était surtout finition du projet. Donc j'ai eu peu de planification mais j'ai quand même planifier les derniers tests ainsi que les nouvelles features à éventuellement mettre en place. Sinon j'ai beaucoup documenté et je me suis assuré que notre rendu de projet était complet et propre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</si>
</sst>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dd/mm/yy;@"/>
    <numFmt numFmtId="165" formatCode="0.0"/>
  </numFmts>
  <fonts count="11" x14ac:knownFonts="1">
    <font>
      <sz val="10"/>
      <name val="Arial"/>
    </font>
    <font>
      <b/>
      <sz val="10"/>
      <name val="Arial"/>
      <family val="2"/>
    </font>
    <font>
      <sz val="8"/>
      <name val="Arial"/>
      <family val="2"/>
    </font>
    <font>
      <sz val="14"/>
      <name val="Arial"/>
      <family val="2"/>
    </font>
    <font>
      <b/>
      <sz val="16"/>
      <name val="Arial"/>
      <family val="2"/>
    </font>
    <font>
      <sz val="9"/>
      <name val="Arial"/>
      <family val="2"/>
    </font>
    <font>
      <sz val="8"/>
      <name val="Calibri"/>
      <family val="2"/>
    </font>
    <font>
      <b/>
      <sz val="8"/>
      <name val="Arial"/>
      <family val="2"/>
    </font>
    <font>
      <b/>
      <sz val="16"/>
      <color rgb="FF000000"/>
      <name val="Arial"/>
      <family val="2"/>
    </font>
    <font>
      <b/>
      <sz val="14"/>
      <color rgb="FF000000"/>
      <name val="Arial"/>
      <family val="2"/>
    </font>
    <font>
      <sz val="10"/>
      <name val="Arial"/>
      <family val="2"/>
    </font>
  </fonts>
  <fills count="7">
    <fill>
      <patternFill patternType="none"/>
    </fill>
    <fill>
      <patternFill patternType="gray125"/>
    </fill>
    <fill>
      <patternFill patternType="solid">
        <fgColor theme="0" tint="-0.249977111117893"/>
        <bgColor indexed="64"/>
      </patternFill>
    </fill>
    <fill>
      <patternFill patternType="solid">
        <fgColor rgb="FFFFC000"/>
        <bgColor indexed="64"/>
      </patternFill>
    </fill>
    <fill>
      <patternFill patternType="solid">
        <fgColor rgb="FF0070C0"/>
        <bgColor indexed="64"/>
      </patternFill>
    </fill>
    <fill>
      <patternFill patternType="solid">
        <fgColor rgb="FFC00000"/>
        <bgColor indexed="64"/>
      </patternFill>
    </fill>
    <fill>
      <patternFill patternType="solid">
        <fgColor rgb="FF00B050"/>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medium">
        <color indexed="64"/>
      </top>
      <bottom/>
      <diagonal/>
    </border>
    <border>
      <left style="thin">
        <color indexed="64"/>
      </left>
      <right style="thin">
        <color indexed="64"/>
      </right>
      <top/>
      <bottom style="medium">
        <color indexed="64"/>
      </bottom>
      <diagonal/>
    </border>
    <border>
      <left style="thin">
        <color indexed="64"/>
      </left>
      <right style="thin">
        <color indexed="64"/>
      </right>
      <top/>
      <bottom/>
      <diagonal/>
    </border>
    <border>
      <left/>
      <right style="thin">
        <color indexed="64"/>
      </right>
      <top/>
      <bottom/>
      <diagonal/>
    </border>
    <border>
      <left style="thin">
        <color indexed="64"/>
      </left>
      <right style="thin">
        <color indexed="64"/>
      </right>
      <top style="thin">
        <color indexed="64"/>
      </top>
      <bottom/>
      <diagonal/>
    </border>
    <border>
      <left style="thin">
        <color indexed="64"/>
      </left>
      <right/>
      <top style="medium">
        <color indexed="64"/>
      </top>
      <bottom/>
      <diagonal/>
    </border>
    <border>
      <left style="thin">
        <color indexed="64"/>
      </left>
      <right/>
      <top/>
      <bottom style="medium">
        <color indexed="64"/>
      </bottom>
      <diagonal/>
    </border>
    <border>
      <left style="thin">
        <color indexed="64"/>
      </left>
      <right/>
      <top style="thin">
        <color indexed="64"/>
      </top>
      <bottom/>
      <diagonal/>
    </border>
    <border>
      <left style="thin">
        <color indexed="64"/>
      </left>
      <right/>
      <top/>
      <bottom/>
      <diagonal/>
    </border>
    <border>
      <left style="thin">
        <color indexed="64"/>
      </left>
      <right/>
      <top/>
      <bottom style="thin">
        <color indexed="64"/>
      </bottom>
      <diagonal/>
    </border>
    <border>
      <left/>
      <right style="thin">
        <color indexed="64"/>
      </right>
      <top style="medium">
        <color indexed="64"/>
      </top>
      <bottom/>
      <diagonal/>
    </border>
    <border>
      <left/>
      <right style="thin">
        <color indexed="64"/>
      </right>
      <top/>
      <bottom style="medium">
        <color indexed="64"/>
      </bottom>
      <diagonal/>
    </border>
    <border>
      <left/>
      <right style="thin">
        <color indexed="64"/>
      </right>
      <top/>
      <bottom style="thin">
        <color indexed="64"/>
      </bottom>
      <diagonal/>
    </border>
    <border>
      <left/>
      <right style="thin">
        <color indexed="64"/>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right/>
      <top style="thin">
        <color indexed="64"/>
      </top>
      <bottom/>
      <diagonal/>
    </border>
    <border>
      <left/>
      <right/>
      <top/>
      <bottom style="thin">
        <color indexed="64"/>
      </bottom>
      <diagonal/>
    </border>
  </borders>
  <cellStyleXfs count="1">
    <xf numFmtId="0" fontId="0" fillId="0" borderId="0"/>
  </cellStyleXfs>
  <cellXfs count="64">
    <xf numFmtId="0" fontId="0" fillId="0" borderId="0" xfId="0"/>
    <xf numFmtId="0" fontId="0" fillId="0" borderId="0" xfId="0" applyProtection="1">
      <protection locked="0"/>
    </xf>
    <xf numFmtId="0" fontId="2" fillId="2" borderId="9" xfId="0" applyFont="1" applyFill="1" applyBorder="1" applyAlignment="1" applyProtection="1">
      <alignment horizontal="left" vertical="center"/>
      <protection locked="0"/>
    </xf>
    <xf numFmtId="0" fontId="2" fillId="2" borderId="15" xfId="0" applyFont="1" applyFill="1" applyBorder="1" applyAlignment="1" applyProtection="1">
      <alignment horizontal="right" vertical="center"/>
      <protection locked="0"/>
    </xf>
    <xf numFmtId="0" fontId="1" fillId="0" borderId="6" xfId="0" applyFont="1" applyBorder="1" applyAlignment="1" applyProtection="1">
      <alignment horizontal="center"/>
      <protection locked="0"/>
    </xf>
    <xf numFmtId="0" fontId="5" fillId="0" borderId="3" xfId="0" applyFont="1" applyBorder="1" applyAlignment="1" applyProtection="1">
      <alignment horizontal="center"/>
      <protection locked="0"/>
    </xf>
    <xf numFmtId="165" fontId="2" fillId="0" borderId="6" xfId="0" applyNumberFormat="1" applyFont="1" applyBorder="1" applyAlignment="1" applyProtection="1">
      <alignment horizontal="center" vertical="center"/>
      <protection locked="0"/>
    </xf>
    <xf numFmtId="165" fontId="2" fillId="0" borderId="4" xfId="0" applyNumberFormat="1" applyFont="1" applyBorder="1" applyAlignment="1" applyProtection="1">
      <alignment horizontal="center" vertical="center"/>
      <protection locked="0"/>
    </xf>
    <xf numFmtId="165" fontId="2" fillId="0" borderId="1" xfId="0" applyNumberFormat="1" applyFont="1" applyBorder="1" applyAlignment="1" applyProtection="1">
      <alignment horizontal="center" vertical="center"/>
      <protection locked="0"/>
    </xf>
    <xf numFmtId="165" fontId="7" fillId="0" borderId="1" xfId="0" applyNumberFormat="1" applyFont="1" applyBorder="1" applyAlignment="1" applyProtection="1">
      <alignment horizontal="center" vertical="center"/>
      <protection locked="0"/>
    </xf>
    <xf numFmtId="0" fontId="2" fillId="2" borderId="18" xfId="0" applyFont="1" applyFill="1" applyBorder="1" applyAlignment="1" applyProtection="1">
      <alignment horizontal="right" vertical="center"/>
      <protection locked="0"/>
    </xf>
    <xf numFmtId="165" fontId="2" fillId="2" borderId="1" xfId="0" applyNumberFormat="1" applyFont="1" applyFill="1" applyBorder="1" applyAlignment="1" applyProtection="1">
      <alignment horizontal="center" vertical="center"/>
      <protection locked="0"/>
    </xf>
    <xf numFmtId="0" fontId="2" fillId="2" borderId="1" xfId="0" applyFont="1" applyFill="1" applyBorder="1" applyAlignment="1" applyProtection="1">
      <alignment horizontal="right" vertical="center"/>
      <protection locked="0"/>
    </xf>
    <xf numFmtId="0" fontId="0" fillId="3" borderId="0" xfId="0" applyFill="1" applyProtection="1">
      <protection locked="0"/>
    </xf>
    <xf numFmtId="0" fontId="0" fillId="4" borderId="0" xfId="0" applyFill="1" applyProtection="1">
      <protection locked="0"/>
    </xf>
    <xf numFmtId="0" fontId="0" fillId="5" borderId="0" xfId="0" applyFill="1" applyProtection="1">
      <protection locked="0"/>
    </xf>
    <xf numFmtId="0" fontId="0" fillId="6" borderId="0" xfId="0" applyFill="1" applyProtection="1">
      <protection locked="0"/>
    </xf>
    <xf numFmtId="0" fontId="2" fillId="2" borderId="16" xfId="0" applyFont="1" applyFill="1" applyBorder="1" applyAlignment="1" applyProtection="1">
      <alignment horizontal="left" vertical="center"/>
      <protection locked="0"/>
    </xf>
    <xf numFmtId="0" fontId="2" fillId="2" borderId="18" xfId="0" applyFont="1" applyFill="1" applyBorder="1" applyAlignment="1" applyProtection="1">
      <alignment horizontal="left" vertical="center"/>
      <protection locked="0"/>
    </xf>
    <xf numFmtId="164" fontId="0" fillId="0" borderId="6" xfId="0" applyNumberFormat="1" applyBorder="1" applyAlignment="1" applyProtection="1">
      <alignment horizontal="center" vertical="center"/>
      <protection locked="0"/>
    </xf>
    <xf numFmtId="164" fontId="0" fillId="0" borderId="4" xfId="0" applyNumberFormat="1" applyBorder="1" applyAlignment="1" applyProtection="1">
      <alignment horizontal="center" vertical="center"/>
      <protection locked="0"/>
    </xf>
    <xf numFmtId="0" fontId="2" fillId="0" borderId="9" xfId="0" applyFont="1" applyBorder="1" applyAlignment="1" applyProtection="1">
      <alignment horizontal="left" vertical="center"/>
      <protection locked="0"/>
    </xf>
    <xf numFmtId="0" fontId="2" fillId="0" borderId="15" xfId="0" applyFont="1" applyBorder="1" applyAlignment="1" applyProtection="1">
      <alignment horizontal="left" vertical="center"/>
      <protection locked="0"/>
    </xf>
    <xf numFmtId="0" fontId="2" fillId="0" borderId="10" xfId="0" applyFont="1" applyBorder="1" applyAlignment="1" applyProtection="1">
      <alignment horizontal="left" vertical="center"/>
      <protection locked="0"/>
    </xf>
    <xf numFmtId="0" fontId="2" fillId="0" borderId="5" xfId="0" applyFont="1" applyBorder="1" applyAlignment="1" applyProtection="1">
      <alignment horizontal="left" vertical="center"/>
      <protection locked="0"/>
    </xf>
    <xf numFmtId="164" fontId="10" fillId="0" borderId="16" xfId="0" applyNumberFormat="1" applyFont="1" applyBorder="1" applyAlignment="1" applyProtection="1">
      <alignment horizontal="left" vertical="center"/>
      <protection locked="0"/>
    </xf>
    <xf numFmtId="164" fontId="0" fillId="0" borderId="18" xfId="0" applyNumberFormat="1" applyBorder="1" applyAlignment="1" applyProtection="1">
      <alignment horizontal="left" vertical="center"/>
      <protection locked="0"/>
    </xf>
    <xf numFmtId="164" fontId="0" fillId="0" borderId="17" xfId="0" applyNumberFormat="1" applyBorder="1" applyAlignment="1" applyProtection="1">
      <alignment horizontal="left" vertical="center"/>
      <protection locked="0"/>
    </xf>
    <xf numFmtId="0" fontId="2" fillId="2" borderId="16" xfId="0" applyFont="1" applyFill="1" applyBorder="1" applyAlignment="1" applyProtection="1">
      <alignment horizontal="left" vertical="center"/>
      <protection locked="0"/>
    </xf>
    <xf numFmtId="0" fontId="2" fillId="2" borderId="18" xfId="0" applyFont="1" applyFill="1" applyBorder="1" applyAlignment="1" applyProtection="1">
      <alignment horizontal="left" vertical="center"/>
      <protection locked="0"/>
    </xf>
    <xf numFmtId="164" fontId="10" fillId="0" borderId="4" xfId="0" applyNumberFormat="1" applyFont="1" applyBorder="1" applyAlignment="1" applyProtection="1">
      <alignment horizontal="center" vertical="center"/>
      <protection locked="0"/>
    </xf>
    <xf numFmtId="0" fontId="2" fillId="6" borderId="10" xfId="0" applyFont="1" applyFill="1" applyBorder="1" applyAlignment="1" applyProtection="1">
      <alignment horizontal="left" vertical="center"/>
      <protection locked="0"/>
    </xf>
    <xf numFmtId="0" fontId="2" fillId="6" borderId="5" xfId="0" applyFont="1" applyFill="1" applyBorder="1" applyAlignment="1" applyProtection="1">
      <alignment horizontal="left" vertical="center"/>
      <protection locked="0"/>
    </xf>
    <xf numFmtId="0" fontId="2" fillId="4" borderId="9" xfId="0" applyFont="1" applyFill="1" applyBorder="1" applyAlignment="1" applyProtection="1">
      <alignment horizontal="center" vertical="center"/>
      <protection locked="0"/>
    </xf>
    <xf numFmtId="0" fontId="2" fillId="4" borderId="15" xfId="0" applyFont="1" applyFill="1" applyBorder="1" applyAlignment="1" applyProtection="1">
      <alignment horizontal="center" vertical="center"/>
      <protection locked="0"/>
    </xf>
    <xf numFmtId="0" fontId="2" fillId="4" borderId="10" xfId="0" applyFont="1" applyFill="1" applyBorder="1" applyAlignment="1" applyProtection="1">
      <alignment horizontal="center" vertical="center"/>
      <protection locked="0"/>
    </xf>
    <xf numFmtId="0" fontId="2" fillId="4" borderId="5" xfId="0" applyFont="1" applyFill="1" applyBorder="1" applyAlignment="1" applyProtection="1">
      <alignment horizontal="center" vertical="center"/>
      <protection locked="0"/>
    </xf>
    <xf numFmtId="0" fontId="2" fillId="4" borderId="11" xfId="0" applyFont="1" applyFill="1" applyBorder="1" applyAlignment="1" applyProtection="1">
      <alignment horizontal="center" vertical="center"/>
      <protection locked="0"/>
    </xf>
    <xf numFmtId="0" fontId="2" fillId="4" borderId="14" xfId="0" applyFont="1" applyFill="1" applyBorder="1" applyAlignment="1" applyProtection="1">
      <alignment horizontal="center" vertical="center"/>
      <protection locked="0"/>
    </xf>
    <xf numFmtId="0" fontId="8" fillId="0" borderId="0" xfId="0" applyFont="1" applyAlignment="1" applyProtection="1">
      <alignment horizontal="left"/>
      <protection locked="0"/>
    </xf>
    <xf numFmtId="0" fontId="4" fillId="0" borderId="0" xfId="0" applyFont="1" applyAlignment="1" applyProtection="1">
      <alignment horizontal="left"/>
      <protection locked="0"/>
    </xf>
    <xf numFmtId="0" fontId="1" fillId="0" borderId="9" xfId="0" applyFont="1" applyBorder="1" applyAlignment="1" applyProtection="1">
      <alignment horizontal="left" vertical="center"/>
      <protection locked="0"/>
    </xf>
    <xf numFmtId="0" fontId="1" fillId="0" borderId="15" xfId="0" applyFont="1" applyBorder="1" applyAlignment="1" applyProtection="1">
      <alignment horizontal="left" vertical="center"/>
      <protection locked="0"/>
    </xf>
    <xf numFmtId="0" fontId="1" fillId="0" borderId="8" xfId="0" applyFont="1" applyBorder="1" applyAlignment="1" applyProtection="1">
      <alignment horizontal="left" vertical="center"/>
      <protection locked="0"/>
    </xf>
    <xf numFmtId="0" fontId="1" fillId="0" borderId="13" xfId="0" applyFont="1" applyBorder="1" applyAlignment="1" applyProtection="1">
      <alignment horizontal="left" vertical="center"/>
      <protection locked="0"/>
    </xf>
    <xf numFmtId="0" fontId="2" fillId="0" borderId="7" xfId="0" applyFont="1" applyBorder="1" applyAlignment="1" applyProtection="1">
      <alignment horizontal="left" vertical="center"/>
      <protection locked="0"/>
    </xf>
    <xf numFmtId="0" fontId="2" fillId="0" borderId="12" xfId="0" applyFont="1" applyBorder="1" applyAlignment="1" applyProtection="1">
      <alignment horizontal="left" vertical="center"/>
      <protection locked="0"/>
    </xf>
    <xf numFmtId="0" fontId="3" fillId="0" borderId="0" xfId="0" applyFont="1" applyAlignment="1" applyProtection="1">
      <alignment horizontal="left"/>
      <protection locked="0"/>
    </xf>
    <xf numFmtId="164" fontId="0" fillId="0" borderId="2" xfId="0" applyNumberFormat="1" applyBorder="1" applyAlignment="1" applyProtection="1">
      <alignment horizontal="center" vertical="center"/>
      <protection locked="0"/>
    </xf>
    <xf numFmtId="0" fontId="2" fillId="0" borderId="9" xfId="0" applyFont="1" applyBorder="1" applyAlignment="1" applyProtection="1">
      <alignment horizontal="center" vertical="center"/>
      <protection locked="0"/>
    </xf>
    <xf numFmtId="0" fontId="2" fillId="0" borderId="15" xfId="0" applyFont="1" applyBorder="1" applyAlignment="1" applyProtection="1">
      <alignment horizontal="center" vertical="center"/>
      <protection locked="0"/>
    </xf>
    <xf numFmtId="0" fontId="2" fillId="0" borderId="10" xfId="0" applyFont="1" applyBorder="1" applyAlignment="1" applyProtection="1">
      <alignment horizontal="center" vertical="center"/>
      <protection locked="0"/>
    </xf>
    <xf numFmtId="0" fontId="2" fillId="0" borderId="5" xfId="0" applyFont="1" applyBorder="1" applyAlignment="1" applyProtection="1">
      <alignment horizontal="center" vertical="center"/>
      <protection locked="0"/>
    </xf>
    <xf numFmtId="0" fontId="2" fillId="0" borderId="11" xfId="0" applyFont="1" applyBorder="1" applyAlignment="1" applyProtection="1">
      <alignment horizontal="center" vertical="center"/>
      <protection locked="0"/>
    </xf>
    <xf numFmtId="0" fontId="2" fillId="0" borderId="14" xfId="0" applyFont="1" applyBorder="1" applyAlignment="1" applyProtection="1">
      <alignment horizontal="center" vertical="center"/>
      <protection locked="0"/>
    </xf>
    <xf numFmtId="164" fontId="10" fillId="0" borderId="19" xfId="0" applyNumberFormat="1" applyFont="1" applyBorder="1" applyAlignment="1" applyProtection="1">
      <alignment horizontal="center" vertical="center"/>
      <protection locked="0"/>
    </xf>
    <xf numFmtId="164" fontId="10" fillId="0" borderId="0" xfId="0" applyNumberFormat="1" applyFont="1" applyBorder="1" applyAlignment="1" applyProtection="1">
      <alignment horizontal="center" vertical="center"/>
      <protection locked="0"/>
    </xf>
    <xf numFmtId="164" fontId="10" fillId="0" borderId="9" xfId="0" applyNumberFormat="1" applyFont="1" applyBorder="1" applyAlignment="1" applyProtection="1">
      <alignment horizontal="center" vertical="center"/>
      <protection locked="0"/>
    </xf>
    <xf numFmtId="164" fontId="10" fillId="0" borderId="15" xfId="0" applyNumberFormat="1" applyFont="1" applyBorder="1" applyAlignment="1" applyProtection="1">
      <alignment horizontal="center" vertical="center"/>
      <protection locked="0"/>
    </xf>
    <xf numFmtId="164" fontId="10" fillId="0" borderId="10" xfId="0" applyNumberFormat="1" applyFont="1" applyBorder="1" applyAlignment="1" applyProtection="1">
      <alignment horizontal="center" vertical="center"/>
      <protection locked="0"/>
    </xf>
    <xf numFmtId="164" fontId="10" fillId="0" borderId="5" xfId="0" applyNumberFormat="1" applyFont="1" applyBorder="1" applyAlignment="1" applyProtection="1">
      <alignment horizontal="center" vertical="center"/>
      <protection locked="0"/>
    </xf>
    <xf numFmtId="164" fontId="10" fillId="0" borderId="11" xfId="0" applyNumberFormat="1" applyFont="1" applyBorder="1" applyAlignment="1" applyProtection="1">
      <alignment horizontal="center" vertical="center"/>
      <protection locked="0"/>
    </xf>
    <xf numFmtId="164" fontId="10" fillId="0" borderId="20" xfId="0" applyNumberFormat="1" applyFont="1" applyBorder="1" applyAlignment="1" applyProtection="1">
      <alignment horizontal="center" vertical="center"/>
      <protection locked="0"/>
    </xf>
    <xf numFmtId="164" fontId="10" fillId="0" borderId="14" xfId="0" applyNumberFormat="1" applyFont="1" applyBorder="1" applyAlignment="1" applyProtection="1">
      <alignment horizontal="center" vertical="center"/>
      <protection locked="0"/>
    </xf>
  </cellXfs>
  <cellStyles count="1">
    <cellStyle name="Normal" xfId="0" builtinId="0"/>
  </cellStyles>
  <dxfs count="10">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s>
  <tableStyles count="0" defaultTableStyle="TableStyleMedium9" defaultPivotStyle="PivotStyleLight16"/>
  <colors>
    <mruColors>
      <color rgb="FF00A4DB"/>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3.xml"/><Relationship Id="rId3" Type="http://schemas.openxmlformats.org/officeDocument/2006/relationships/styles" Target="styles.xml"/><Relationship Id="rId7" Type="http://schemas.openxmlformats.org/officeDocument/2006/relationships/customXml" Target="../customXml/item2.xml"/><Relationship Id="rId2"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customXml" Target="../customXml/item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bwMode="auto">
        <a:xfrm>
          <a:off x="0" y="0"/>
          <a:ext cx="1" cy="1"/>
        </a:xfrm>
        <a:custGeom>
          <a:avLst/>
          <a:gdLst/>
          <a:ahLst/>
          <a:cxnLst/>
          <a:rect l="0" t="0" r="0" b="0"/>
          <a:pathLst/>
        </a:custGeom>
        <a:solidFill>
          <a:srgbClr val="FFFFFF"/>
        </a:solidFill>
        <a:ln w="9525" cap="flat" cmpd="sng" algn="ctr">
          <a:solidFill>
            <a:srgbClr val="000000"/>
          </a:solidFill>
          <a:prstDash val="solid"/>
          <a:round/>
          <a:headEnd type="none" w="med" len="med"/>
          <a:tailEnd type="none" w="med" len="med"/>
        </a:ln>
        <a:effectLst/>
      </a:spPr>
      <a:bodyPr vertOverflow="clip" wrap="square" lIns="18288" tIns="0" rIns="0" bIns="0" upright="1"/>
      <a:lstStyle/>
    </a:spDef>
    <a:lnDef>
      <a:spPr bwMode="auto">
        <a:xfrm>
          <a:off x="0" y="0"/>
          <a:ext cx="1" cy="1"/>
        </a:xfrm>
        <a:custGeom>
          <a:avLst/>
          <a:gdLst/>
          <a:ahLst/>
          <a:cxnLst/>
          <a:rect l="0" t="0" r="0" b="0"/>
          <a:pathLst/>
        </a:custGeom>
        <a:solidFill>
          <a:srgbClr val="FFFFFF"/>
        </a:solidFill>
        <a:ln w="9525" cap="flat" cmpd="sng" algn="ctr">
          <a:solidFill>
            <a:srgbClr val="000000"/>
          </a:solidFill>
          <a:prstDash val="solid"/>
          <a:round/>
          <a:headEnd type="none" w="med" len="med"/>
          <a:tailEnd type="none" w="med" len="med"/>
        </a:ln>
        <a:effectLst/>
      </a:spPr>
      <a:bodyPr vertOverflow="clip" wrap="square" lIns="18288" tIns="0" rIns="0" bIns="0" upright="1"/>
      <a:lstStyle/>
    </a:lnDef>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I80"/>
  <sheetViews>
    <sheetView tabSelected="1" zoomScale="150" zoomScaleNormal="115" zoomScaleSheetLayoutView="115" workbookViewId="0">
      <pane xSplit="4" ySplit="5" topLeftCell="E67" activePane="bottomRight" state="frozenSplit"/>
      <selection pane="topRight" activeCell="K1" sqref="K1"/>
      <selection pane="bottomLeft" activeCell="A13" sqref="A13"/>
      <selection pane="bottomRight" activeCell="B84" sqref="B84"/>
    </sheetView>
  </sheetViews>
  <sheetFormatPr baseColWidth="10" defaultColWidth="11.5" defaultRowHeight="13" x14ac:dyDescent="0.15"/>
  <cols>
    <col min="1" max="1" width="11.5" style="1"/>
    <col min="2" max="2" width="31.6640625" style="1" customWidth="1"/>
    <col min="3" max="3" width="36.6640625" style="1" customWidth="1"/>
    <col min="4" max="4" width="11.5" style="1" customWidth="1"/>
    <col min="5" max="7" width="9.1640625" style="1" customWidth="1"/>
    <col min="8" max="8" width="4.5" style="1" customWidth="1"/>
    <col min="9" max="9" width="10.83203125" style="1" customWidth="1"/>
    <col min="10" max="217" width="9.1640625" style="1" customWidth="1"/>
    <col min="218" max="16384" width="11.5" style="1"/>
  </cols>
  <sheetData>
    <row r="1" spans="1:9" ht="20" x14ac:dyDescent="0.2">
      <c r="A1" s="39" t="s">
        <v>13</v>
      </c>
      <c r="B1" s="40"/>
      <c r="C1" s="40"/>
      <c r="D1" s="40"/>
    </row>
    <row r="2" spans="1:9" ht="18" x14ac:dyDescent="0.2">
      <c r="A2" s="47" t="s">
        <v>0</v>
      </c>
      <c r="B2" s="47"/>
      <c r="C2" s="47"/>
      <c r="D2" s="47"/>
      <c r="H2" s="15"/>
      <c r="I2" s="1" t="s">
        <v>1</v>
      </c>
    </row>
    <row r="3" spans="1:9" x14ac:dyDescent="0.15">
      <c r="H3" s="16"/>
      <c r="I3" s="1" t="s">
        <v>2</v>
      </c>
    </row>
    <row r="4" spans="1:9" ht="12" customHeight="1" x14ac:dyDescent="0.15">
      <c r="A4" s="41" t="s">
        <v>3</v>
      </c>
      <c r="B4" s="41" t="s">
        <v>4</v>
      </c>
      <c r="C4" s="42"/>
      <c r="D4" s="4" t="s">
        <v>5</v>
      </c>
      <c r="H4" s="14"/>
      <c r="I4" s="1" t="s">
        <v>6</v>
      </c>
    </row>
    <row r="5" spans="1:9" ht="14" thickBot="1" x14ac:dyDescent="0.2">
      <c r="A5" s="43"/>
      <c r="B5" s="43"/>
      <c r="C5" s="44"/>
      <c r="D5" s="5" t="s">
        <v>7</v>
      </c>
      <c r="H5" s="13"/>
      <c r="I5" s="1" t="s">
        <v>8</v>
      </c>
    </row>
    <row r="6" spans="1:9" ht="12.75" customHeight="1" x14ac:dyDescent="0.15">
      <c r="A6" s="48">
        <v>45992</v>
      </c>
      <c r="B6" s="45" t="s">
        <v>25</v>
      </c>
      <c r="C6" s="46"/>
      <c r="D6" s="6">
        <v>2</v>
      </c>
    </row>
    <row r="7" spans="1:9" x14ac:dyDescent="0.15">
      <c r="A7" s="20"/>
      <c r="B7" s="23" t="s">
        <v>26</v>
      </c>
      <c r="C7" s="24"/>
      <c r="D7" s="7">
        <v>1.5</v>
      </c>
    </row>
    <row r="8" spans="1:9" x14ac:dyDescent="0.15">
      <c r="A8" s="20"/>
      <c r="B8" s="23"/>
      <c r="C8" s="24"/>
      <c r="D8" s="7"/>
    </row>
    <row r="9" spans="1:9" x14ac:dyDescent="0.15">
      <c r="A9" s="20"/>
      <c r="B9" s="2"/>
      <c r="C9" s="3" t="s">
        <v>9</v>
      </c>
      <c r="D9" s="8">
        <f>SUM(D6:D8)</f>
        <v>3.5</v>
      </c>
    </row>
    <row r="10" spans="1:9" ht="12.75" customHeight="1" x14ac:dyDescent="0.15">
      <c r="A10" s="19">
        <v>45992</v>
      </c>
      <c r="B10" s="21"/>
      <c r="C10" s="22"/>
      <c r="D10" s="6"/>
    </row>
    <row r="11" spans="1:9" x14ac:dyDescent="0.15">
      <c r="A11" s="20"/>
      <c r="B11" s="23" t="s">
        <v>30</v>
      </c>
      <c r="C11" s="24"/>
      <c r="D11" s="7">
        <v>1.5</v>
      </c>
    </row>
    <row r="12" spans="1:9" x14ac:dyDescent="0.15">
      <c r="A12" s="20"/>
      <c r="B12" s="23" t="s">
        <v>31</v>
      </c>
      <c r="C12" s="24"/>
      <c r="D12" s="7">
        <v>2</v>
      </c>
    </row>
    <row r="13" spans="1:9" x14ac:dyDescent="0.15">
      <c r="A13" s="20"/>
      <c r="B13" s="2"/>
      <c r="C13" s="3" t="s">
        <v>9</v>
      </c>
      <c r="D13" s="8">
        <f>SUM(D10:D12)</f>
        <v>3.5</v>
      </c>
    </row>
    <row r="14" spans="1:9" ht="12.75" customHeight="1" x14ac:dyDescent="0.15">
      <c r="A14" s="19">
        <v>45993</v>
      </c>
      <c r="B14" s="21" t="s">
        <v>28</v>
      </c>
      <c r="C14" s="22"/>
      <c r="D14" s="6">
        <v>2</v>
      </c>
    </row>
    <row r="15" spans="1:9" x14ac:dyDescent="0.15">
      <c r="A15" s="20"/>
      <c r="B15" s="13" t="s">
        <v>27</v>
      </c>
      <c r="C15" s="13"/>
      <c r="D15" s="7">
        <v>0.5</v>
      </c>
    </row>
    <row r="16" spans="1:9" x14ac:dyDescent="0.15">
      <c r="A16" s="20"/>
      <c r="B16" s="23" t="s">
        <v>29</v>
      </c>
      <c r="C16" s="24"/>
      <c r="D16" s="7">
        <v>1</v>
      </c>
    </row>
    <row r="17" spans="1:4" x14ac:dyDescent="0.15">
      <c r="A17" s="20"/>
      <c r="B17" s="2"/>
      <c r="C17" s="3" t="s">
        <v>9</v>
      </c>
      <c r="D17" s="8">
        <f>SUM(D14:D16)</f>
        <v>3.5</v>
      </c>
    </row>
    <row r="18" spans="1:4" x14ac:dyDescent="0.15">
      <c r="A18" s="28" t="s">
        <v>10</v>
      </c>
      <c r="B18" s="29"/>
      <c r="C18" s="10" t="s">
        <v>11</v>
      </c>
      <c r="D18" s="11">
        <f>SUM(D9,D13,D17)</f>
        <v>10.5</v>
      </c>
    </row>
    <row r="19" spans="1:4" ht="63" customHeight="1" x14ac:dyDescent="0.15">
      <c r="A19" s="25" t="s">
        <v>32</v>
      </c>
      <c r="B19" s="26"/>
      <c r="C19" s="26"/>
      <c r="D19" s="27"/>
    </row>
    <row r="20" spans="1:4" ht="12.75" customHeight="1" x14ac:dyDescent="0.15">
      <c r="A20" s="20">
        <v>45999</v>
      </c>
      <c r="B20" s="33" t="s">
        <v>14</v>
      </c>
      <c r="C20" s="34"/>
      <c r="D20" s="7"/>
    </row>
    <row r="21" spans="1:4" x14ac:dyDescent="0.15">
      <c r="A21" s="20"/>
      <c r="B21" s="35"/>
      <c r="C21" s="36"/>
      <c r="D21" s="7"/>
    </row>
    <row r="22" spans="1:4" x14ac:dyDescent="0.15">
      <c r="A22" s="20"/>
      <c r="B22" s="37"/>
      <c r="C22" s="38"/>
      <c r="D22" s="7"/>
    </row>
    <row r="23" spans="1:4" x14ac:dyDescent="0.15">
      <c r="A23" s="20"/>
      <c r="B23" s="2"/>
      <c r="C23" s="3" t="s">
        <v>9</v>
      </c>
      <c r="D23" s="8">
        <f>SUM(D20:D22)</f>
        <v>0</v>
      </c>
    </row>
    <row r="24" spans="1:4" ht="12.75" customHeight="1" x14ac:dyDescent="0.15">
      <c r="A24" s="19">
        <v>45999</v>
      </c>
      <c r="B24" s="33" t="s">
        <v>14</v>
      </c>
      <c r="C24" s="34"/>
      <c r="D24" s="6"/>
    </row>
    <row r="25" spans="1:4" x14ac:dyDescent="0.15">
      <c r="A25" s="20"/>
      <c r="B25" s="35"/>
      <c r="C25" s="36"/>
      <c r="D25" s="7"/>
    </row>
    <row r="26" spans="1:4" x14ac:dyDescent="0.15">
      <c r="A26" s="20"/>
      <c r="B26" s="37"/>
      <c r="C26" s="38"/>
      <c r="D26" s="7"/>
    </row>
    <row r="27" spans="1:4" x14ac:dyDescent="0.15">
      <c r="A27" s="20"/>
      <c r="B27" s="2"/>
      <c r="C27" s="3" t="s">
        <v>9</v>
      </c>
      <c r="D27" s="8">
        <f>SUM(D24:D26)</f>
        <v>0</v>
      </c>
    </row>
    <row r="28" spans="1:4" ht="12.75" customHeight="1" x14ac:dyDescent="0.15">
      <c r="A28" s="19">
        <v>46000</v>
      </c>
      <c r="B28" s="21" t="s">
        <v>15</v>
      </c>
      <c r="C28" s="22"/>
      <c r="D28" s="6">
        <v>2</v>
      </c>
    </row>
    <row r="29" spans="1:4" x14ac:dyDescent="0.15">
      <c r="A29" s="20"/>
      <c r="B29" s="31" t="s">
        <v>16</v>
      </c>
      <c r="C29" s="32"/>
      <c r="D29" s="7">
        <v>1</v>
      </c>
    </row>
    <row r="30" spans="1:4" x14ac:dyDescent="0.15">
      <c r="A30" s="20"/>
      <c r="B30" s="23" t="s">
        <v>17</v>
      </c>
      <c r="C30" s="24"/>
      <c r="D30" s="7">
        <v>0.5</v>
      </c>
    </row>
    <row r="31" spans="1:4" x14ac:dyDescent="0.15">
      <c r="A31" s="20"/>
      <c r="B31" s="2"/>
      <c r="C31" s="3" t="s">
        <v>9</v>
      </c>
      <c r="D31" s="8">
        <f>SUM(D28:D30)</f>
        <v>3.5</v>
      </c>
    </row>
    <row r="32" spans="1:4" x14ac:dyDescent="0.15">
      <c r="A32" s="28" t="s">
        <v>10</v>
      </c>
      <c r="B32" s="29"/>
      <c r="C32" s="10" t="s">
        <v>11</v>
      </c>
      <c r="D32" s="11">
        <f>SUM(D23,D27,D31)</f>
        <v>3.5</v>
      </c>
    </row>
    <row r="33" spans="1:4" ht="63" customHeight="1" x14ac:dyDescent="0.15">
      <c r="A33" s="25" t="s">
        <v>18</v>
      </c>
      <c r="B33" s="26"/>
      <c r="C33" s="26"/>
      <c r="D33" s="27"/>
    </row>
    <row r="34" spans="1:4" ht="12.75" customHeight="1" x14ac:dyDescent="0.15">
      <c r="A34" s="30">
        <v>46006</v>
      </c>
      <c r="B34" s="21" t="s">
        <v>19</v>
      </c>
      <c r="C34" s="22"/>
      <c r="D34" s="7">
        <v>1</v>
      </c>
    </row>
    <row r="35" spans="1:4" x14ac:dyDescent="0.15">
      <c r="A35" s="20"/>
      <c r="B35" s="23" t="s">
        <v>20</v>
      </c>
      <c r="C35" s="24"/>
      <c r="D35" s="7">
        <v>1.5</v>
      </c>
    </row>
    <row r="36" spans="1:4" x14ac:dyDescent="0.15">
      <c r="A36" s="20"/>
      <c r="B36" s="23" t="s">
        <v>21</v>
      </c>
      <c r="C36" s="24"/>
      <c r="D36" s="7">
        <v>1</v>
      </c>
    </row>
    <row r="37" spans="1:4" x14ac:dyDescent="0.15">
      <c r="A37" s="20"/>
      <c r="B37" s="2"/>
      <c r="C37" s="3" t="s">
        <v>9</v>
      </c>
      <c r="D37" s="8">
        <f>SUM(D34:D36)</f>
        <v>3.5</v>
      </c>
    </row>
    <row r="38" spans="1:4" ht="12.75" customHeight="1" x14ac:dyDescent="0.15">
      <c r="A38" s="19">
        <v>46006</v>
      </c>
      <c r="B38" s="21" t="s">
        <v>22</v>
      </c>
      <c r="C38" s="22"/>
      <c r="D38" s="6">
        <v>1.5</v>
      </c>
    </row>
    <row r="39" spans="1:4" x14ac:dyDescent="0.15">
      <c r="A39" s="20"/>
      <c r="B39" s="15" t="s">
        <v>23</v>
      </c>
      <c r="C39" s="15"/>
      <c r="D39" s="7">
        <v>0.5</v>
      </c>
    </row>
    <row r="40" spans="1:4" x14ac:dyDescent="0.15">
      <c r="A40" s="20"/>
      <c r="B40" s="16" t="s">
        <v>24</v>
      </c>
      <c r="C40" s="16"/>
      <c r="D40" s="7">
        <v>1.5</v>
      </c>
    </row>
    <row r="41" spans="1:4" x14ac:dyDescent="0.15">
      <c r="A41" s="20"/>
      <c r="B41" s="2"/>
      <c r="C41" s="3" t="s">
        <v>9</v>
      </c>
      <c r="D41" s="8">
        <f>SUM(D38:D40)</f>
        <v>3.5</v>
      </c>
    </row>
    <row r="42" spans="1:4" ht="12.75" customHeight="1" x14ac:dyDescent="0.15">
      <c r="A42" s="19">
        <v>46007</v>
      </c>
      <c r="B42" s="21" t="s">
        <v>33</v>
      </c>
      <c r="C42" s="22"/>
      <c r="D42" s="6">
        <v>2</v>
      </c>
    </row>
    <row r="43" spans="1:4" x14ac:dyDescent="0.15">
      <c r="A43" s="20"/>
      <c r="B43" s="23" t="s">
        <v>34</v>
      </c>
      <c r="C43" s="24"/>
      <c r="D43" s="7">
        <v>1</v>
      </c>
    </row>
    <row r="44" spans="1:4" x14ac:dyDescent="0.15">
      <c r="A44" s="20"/>
      <c r="B44" s="13" t="s">
        <v>35</v>
      </c>
      <c r="C44" s="13"/>
      <c r="D44" s="7">
        <v>0.5</v>
      </c>
    </row>
    <row r="45" spans="1:4" x14ac:dyDescent="0.15">
      <c r="A45" s="20"/>
      <c r="B45" s="2"/>
      <c r="C45" s="3" t="s">
        <v>9</v>
      </c>
      <c r="D45" s="8">
        <f>SUM(D42:D44)</f>
        <v>3.5</v>
      </c>
    </row>
    <row r="46" spans="1:4" x14ac:dyDescent="0.15">
      <c r="A46" s="28" t="s">
        <v>10</v>
      </c>
      <c r="B46" s="29"/>
      <c r="C46" s="10" t="s">
        <v>11</v>
      </c>
      <c r="D46" s="11">
        <f>SUM(D37,D41,D45)</f>
        <v>10.5</v>
      </c>
    </row>
    <row r="47" spans="1:4" ht="63" customHeight="1" x14ac:dyDescent="0.15">
      <c r="A47" s="25" t="s">
        <v>36</v>
      </c>
      <c r="B47" s="26"/>
      <c r="C47" s="26"/>
      <c r="D47" s="27"/>
    </row>
    <row r="48" spans="1:4" ht="12.75" customHeight="1" x14ac:dyDescent="0.15">
      <c r="A48" s="20">
        <v>45662</v>
      </c>
      <c r="B48" s="21" t="s">
        <v>39</v>
      </c>
      <c r="C48" s="22"/>
      <c r="D48" s="7">
        <v>1.5</v>
      </c>
    </row>
    <row r="49" spans="1:4" x14ac:dyDescent="0.15">
      <c r="A49" s="20"/>
      <c r="B49" s="23" t="s">
        <v>17</v>
      </c>
      <c r="C49" s="24"/>
      <c r="D49" s="7">
        <v>1</v>
      </c>
    </row>
    <row r="50" spans="1:4" x14ac:dyDescent="0.15">
      <c r="A50" s="20"/>
      <c r="B50" s="23" t="s">
        <v>37</v>
      </c>
      <c r="C50" s="24"/>
      <c r="D50" s="7">
        <v>1</v>
      </c>
    </row>
    <row r="51" spans="1:4" x14ac:dyDescent="0.15">
      <c r="A51" s="20"/>
      <c r="B51" s="2"/>
      <c r="C51" s="3" t="s">
        <v>9</v>
      </c>
      <c r="D51" s="8">
        <f>SUM(D48:D50)</f>
        <v>3.5</v>
      </c>
    </row>
    <row r="52" spans="1:4" x14ac:dyDescent="0.15">
      <c r="A52" s="19">
        <v>45662</v>
      </c>
      <c r="B52" s="15" t="s">
        <v>38</v>
      </c>
      <c r="C52" s="15"/>
      <c r="D52" s="6">
        <v>1</v>
      </c>
    </row>
    <row r="53" spans="1:4" x14ac:dyDescent="0.15">
      <c r="A53" s="20"/>
      <c r="B53" s="16" t="s">
        <v>41</v>
      </c>
      <c r="C53" s="16"/>
      <c r="D53" s="7">
        <v>1</v>
      </c>
    </row>
    <row r="54" spans="1:4" x14ac:dyDescent="0.15">
      <c r="A54" s="20"/>
      <c r="B54" s="23" t="s">
        <v>40</v>
      </c>
      <c r="C54" s="24"/>
      <c r="D54" s="7">
        <v>1.5</v>
      </c>
    </row>
    <row r="55" spans="1:4" x14ac:dyDescent="0.15">
      <c r="A55" s="20"/>
      <c r="B55" s="2"/>
      <c r="C55" s="3" t="s">
        <v>9</v>
      </c>
      <c r="D55" s="8">
        <f>SUM(D52:D54)</f>
        <v>3.5</v>
      </c>
    </row>
    <row r="56" spans="1:4" ht="12.75" customHeight="1" x14ac:dyDescent="0.15">
      <c r="A56" s="19">
        <v>46028</v>
      </c>
      <c r="B56" s="21" t="s">
        <v>42</v>
      </c>
      <c r="C56" s="22"/>
      <c r="D56" s="6">
        <v>1.5</v>
      </c>
    </row>
    <row r="57" spans="1:4" x14ac:dyDescent="0.15">
      <c r="A57" s="20"/>
      <c r="B57" s="23" t="s">
        <v>43</v>
      </c>
      <c r="C57" s="24"/>
      <c r="D57" s="7">
        <v>0.5</v>
      </c>
    </row>
    <row r="58" spans="1:4" x14ac:dyDescent="0.15">
      <c r="A58" s="20"/>
      <c r="B58" s="23" t="s">
        <v>44</v>
      </c>
      <c r="C58" s="24"/>
      <c r="D58" s="7">
        <v>1.5</v>
      </c>
    </row>
    <row r="59" spans="1:4" x14ac:dyDescent="0.15">
      <c r="A59" s="20"/>
      <c r="B59" s="2"/>
      <c r="C59" s="3" t="s">
        <v>9</v>
      </c>
      <c r="D59" s="8">
        <f>SUM(D56:D58)</f>
        <v>3.5</v>
      </c>
    </row>
    <row r="60" spans="1:4" x14ac:dyDescent="0.15">
      <c r="A60" s="17" t="s">
        <v>10</v>
      </c>
      <c r="B60" s="2"/>
      <c r="C60" s="3" t="s">
        <v>9</v>
      </c>
      <c r="D60" s="11">
        <f>SUM(D51,D55,D59)</f>
        <v>10.5</v>
      </c>
    </row>
    <row r="61" spans="1:4" ht="64.5" customHeight="1" x14ac:dyDescent="0.15">
      <c r="A61" s="25" t="s">
        <v>45</v>
      </c>
      <c r="B61" s="26"/>
      <c r="C61" s="26"/>
      <c r="D61" s="27"/>
    </row>
    <row r="62" spans="1:4" x14ac:dyDescent="0.15">
      <c r="A62" s="20">
        <v>46034</v>
      </c>
      <c r="B62" s="18"/>
      <c r="C62" s="10" t="s">
        <v>11</v>
      </c>
      <c r="D62" s="7"/>
    </row>
    <row r="63" spans="1:4" x14ac:dyDescent="0.15">
      <c r="A63" s="20"/>
      <c r="B63" s="23" t="s">
        <v>40</v>
      </c>
      <c r="C63" s="24"/>
      <c r="D63" s="7">
        <v>1</v>
      </c>
    </row>
    <row r="64" spans="1:4" x14ac:dyDescent="0.15">
      <c r="A64" s="20"/>
      <c r="B64" s="23" t="s">
        <v>37</v>
      </c>
      <c r="C64" s="24"/>
      <c r="D64" s="7">
        <v>1.5</v>
      </c>
    </row>
    <row r="65" spans="1:4" x14ac:dyDescent="0.15">
      <c r="A65" s="20"/>
      <c r="B65" s="23" t="s">
        <v>50</v>
      </c>
      <c r="C65" s="24"/>
      <c r="D65" s="7">
        <v>1</v>
      </c>
    </row>
    <row r="66" spans="1:4" x14ac:dyDescent="0.15">
      <c r="A66" s="19">
        <v>46034</v>
      </c>
      <c r="B66" s="2"/>
      <c r="C66" s="3" t="s">
        <v>9</v>
      </c>
      <c r="D66" s="8">
        <f>SUM(D62:D65)</f>
        <v>3.5</v>
      </c>
    </row>
    <row r="67" spans="1:4" x14ac:dyDescent="0.15">
      <c r="A67" s="20"/>
      <c r="B67" s="21" t="s">
        <v>47</v>
      </c>
      <c r="C67" s="22"/>
      <c r="D67" s="7">
        <v>1.5</v>
      </c>
    </row>
    <row r="68" spans="1:4" x14ac:dyDescent="0.15">
      <c r="A68" s="20"/>
      <c r="B68" s="23" t="s">
        <v>48</v>
      </c>
      <c r="C68" s="24"/>
      <c r="D68" s="7">
        <v>1.5</v>
      </c>
    </row>
    <row r="69" spans="1:4" x14ac:dyDescent="0.15">
      <c r="A69" s="20"/>
      <c r="B69" s="23" t="s">
        <v>49</v>
      </c>
      <c r="C69" s="24"/>
      <c r="D69" s="7">
        <v>0.5</v>
      </c>
    </row>
    <row r="70" spans="1:4" x14ac:dyDescent="0.15">
      <c r="A70" s="19">
        <v>46035</v>
      </c>
      <c r="B70" s="2"/>
      <c r="C70" s="3" t="s">
        <v>9</v>
      </c>
      <c r="D70" s="8">
        <f>SUM(D66:D69)</f>
        <v>7</v>
      </c>
    </row>
    <row r="71" spans="1:4" x14ac:dyDescent="0.15">
      <c r="A71" s="20"/>
      <c r="B71" s="49" t="s">
        <v>46</v>
      </c>
      <c r="C71" s="50"/>
      <c r="D71" s="7"/>
    </row>
    <row r="72" spans="1:4" x14ac:dyDescent="0.15">
      <c r="A72" s="20"/>
      <c r="B72" s="51"/>
      <c r="C72" s="52"/>
      <c r="D72" s="7"/>
    </row>
    <row r="73" spans="1:4" x14ac:dyDescent="0.15">
      <c r="A73" s="20"/>
      <c r="B73" s="53"/>
      <c r="C73" s="54"/>
    </row>
    <row r="74" spans="1:4" x14ac:dyDescent="0.15">
      <c r="A74" s="17" t="s">
        <v>10</v>
      </c>
      <c r="B74" s="2"/>
      <c r="C74" s="3" t="s">
        <v>9</v>
      </c>
      <c r="D74" s="8">
        <f>SUM(D70:D73)</f>
        <v>7</v>
      </c>
    </row>
    <row r="75" spans="1:4" x14ac:dyDescent="0.15">
      <c r="B75" s="18"/>
      <c r="C75" s="10" t="s">
        <v>11</v>
      </c>
      <c r="D75" s="11">
        <f>SUM(D66,D70,D74)</f>
        <v>17.5</v>
      </c>
    </row>
    <row r="76" spans="1:4" x14ac:dyDescent="0.15">
      <c r="D76" s="9">
        <f>D18+D32+D46+D60+D75</f>
        <v>52.5</v>
      </c>
    </row>
    <row r="77" spans="1:4" x14ac:dyDescent="0.15">
      <c r="C77" s="12" t="s">
        <v>12</v>
      </c>
    </row>
    <row r="78" spans="1:4" x14ac:dyDescent="0.15">
      <c r="A78" s="57" t="s">
        <v>51</v>
      </c>
      <c r="B78" s="55"/>
      <c r="C78" s="55"/>
      <c r="D78" s="58"/>
    </row>
    <row r="79" spans="1:4" x14ac:dyDescent="0.15">
      <c r="A79" s="59"/>
      <c r="B79" s="56"/>
      <c r="C79" s="56"/>
      <c r="D79" s="60"/>
    </row>
    <row r="80" spans="1:4" x14ac:dyDescent="0.15">
      <c r="A80" s="61"/>
      <c r="B80" s="62"/>
      <c r="C80" s="62"/>
      <c r="D80" s="63"/>
    </row>
  </sheetData>
  <mergeCells count="60">
    <mergeCell ref="A78:D80"/>
    <mergeCell ref="A10:A13"/>
    <mergeCell ref="B10:C10"/>
    <mergeCell ref="B11:C11"/>
    <mergeCell ref="B12:C12"/>
    <mergeCell ref="B7:C7"/>
    <mergeCell ref="B8:C8"/>
    <mergeCell ref="A6:A9"/>
    <mergeCell ref="A1:D1"/>
    <mergeCell ref="B4:C5"/>
    <mergeCell ref="B6:C6"/>
    <mergeCell ref="A4:A5"/>
    <mergeCell ref="A2:D2"/>
    <mergeCell ref="B42:C42"/>
    <mergeCell ref="B43:C43"/>
    <mergeCell ref="A42:A45"/>
    <mergeCell ref="B34:C34"/>
    <mergeCell ref="B35:C35"/>
    <mergeCell ref="B36:C36"/>
    <mergeCell ref="A18:B18"/>
    <mergeCell ref="A19:D19"/>
    <mergeCell ref="A20:A23"/>
    <mergeCell ref="A14:A17"/>
    <mergeCell ref="B14:C14"/>
    <mergeCell ref="B16:C16"/>
    <mergeCell ref="B20:C22"/>
    <mergeCell ref="A24:A27"/>
    <mergeCell ref="A28:A31"/>
    <mergeCell ref="B28:C28"/>
    <mergeCell ref="B29:C29"/>
    <mergeCell ref="B30:C30"/>
    <mergeCell ref="B24:C26"/>
    <mergeCell ref="A33:D33"/>
    <mergeCell ref="A32:B32"/>
    <mergeCell ref="A34:A37"/>
    <mergeCell ref="A38:A41"/>
    <mergeCell ref="B38:C38"/>
    <mergeCell ref="A46:B46"/>
    <mergeCell ref="A47:D47"/>
    <mergeCell ref="A48:A51"/>
    <mergeCell ref="B48:C48"/>
    <mergeCell ref="B49:C49"/>
    <mergeCell ref="B50:C50"/>
    <mergeCell ref="A52:A55"/>
    <mergeCell ref="B54:C54"/>
    <mergeCell ref="A56:A59"/>
    <mergeCell ref="B56:C56"/>
    <mergeCell ref="B57:C57"/>
    <mergeCell ref="B58:C58"/>
    <mergeCell ref="A70:A73"/>
    <mergeCell ref="A61:D61"/>
    <mergeCell ref="A62:A65"/>
    <mergeCell ref="B64:C64"/>
    <mergeCell ref="A66:A69"/>
    <mergeCell ref="B68:C68"/>
    <mergeCell ref="B69:C69"/>
    <mergeCell ref="B63:C63"/>
    <mergeCell ref="B65:C65"/>
    <mergeCell ref="B67:C67"/>
    <mergeCell ref="B71:C73"/>
  </mergeCells>
  <conditionalFormatting sqref="D6:D17 D74 D62:D72">
    <cfRule type="containsText" dxfId="9" priority="31" operator="containsText" text="Terminé">
      <formula>NOT(ISERROR(SEARCH("Terminé",D6)))</formula>
    </cfRule>
    <cfRule type="containsText" dxfId="8" priority="32" operator="containsText" text="En cours">
      <formula>NOT(ISERROR(SEARCH("En cours",D6)))</formula>
    </cfRule>
  </conditionalFormatting>
  <conditionalFormatting sqref="D20:D31">
    <cfRule type="containsText" dxfId="7" priority="7" operator="containsText" text="Terminé">
      <formula>NOT(ISERROR(SEARCH("Terminé",D20)))</formula>
    </cfRule>
    <cfRule type="containsText" dxfId="6" priority="8" operator="containsText" text="En cours">
      <formula>NOT(ISERROR(SEARCH("En cours",D20)))</formula>
    </cfRule>
  </conditionalFormatting>
  <conditionalFormatting sqref="D34:D45">
    <cfRule type="containsText" dxfId="5" priority="5" operator="containsText" text="Terminé">
      <formula>NOT(ISERROR(SEARCH("Terminé",D34)))</formula>
    </cfRule>
    <cfRule type="containsText" dxfId="4" priority="6" operator="containsText" text="En cours">
      <formula>NOT(ISERROR(SEARCH("En cours",D34)))</formula>
    </cfRule>
  </conditionalFormatting>
  <conditionalFormatting sqref="D48:D59">
    <cfRule type="containsText" dxfId="3" priority="3" operator="containsText" text="Terminé">
      <formula>NOT(ISERROR(SEARCH("Terminé",D48)))</formula>
    </cfRule>
    <cfRule type="containsText" dxfId="2" priority="4" operator="containsText" text="En cours">
      <formula>NOT(ISERROR(SEARCH("En cours",D48)))</formula>
    </cfRule>
  </conditionalFormatting>
  <conditionalFormatting sqref="D76">
    <cfRule type="containsText" dxfId="1" priority="9" operator="containsText" text="Terminé">
      <formula>NOT(ISERROR(SEARCH("Terminé",D76)))</formula>
    </cfRule>
    <cfRule type="containsText" dxfId="0" priority="10" operator="containsText" text="En cours">
      <formula>NOT(ISERROR(SEARCH("En cours",D76)))</formula>
    </cfRule>
  </conditionalFormatting>
  <printOptions horizontalCentered="1"/>
  <pageMargins left="0.28999999999999998" right="0.15748031496062992" top="0.82" bottom="0.43307086614173229" header="0.31496062992125984" footer="0.19685039370078741"/>
  <pageSetup paperSize="9" orientation="portrait" r:id="rId1"/>
  <headerFooter alignWithMargins="0">
    <oddHeader>&amp;L&amp;"Arial,Gras"&amp;14&amp;K00A4DBEMF-Informatique&amp;K000000
&amp;"Arial,Normal"&amp;12Phase de professionnalisation&amp;R&amp;"Arial,Gras"&amp;14EMF - Fribourg / Freiburg</oddHeader>
    <oddFooter>&amp;L&amp;8&amp;F&amp;R&amp;8Page &amp;P/&amp;N</oddFooter>
  </headerFooter>
  <rowBreaks count="1" manualBreakCount="1">
    <brk id="33" max="3" man="1"/>
  </rowBreak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280ED870E36F6F4C976CEAC6988F82A5" ma:contentTypeVersion="37" ma:contentTypeDescription="Crée un document." ma:contentTypeScope="" ma:versionID="3169f06de23f2334ced166a676265d3f">
  <xsd:schema xmlns:xsd="http://www.w3.org/2001/XMLSchema" xmlns:xs="http://www.w3.org/2001/XMLSchema" xmlns:p="http://schemas.microsoft.com/office/2006/metadata/properties" xmlns:ns2="32d4d717-cd3a-4b3d-8168-24cfd96cd6ea" xmlns:ns3="5cbbe46b-cb1d-4e56-8c99-5e3dbfb293e5" targetNamespace="http://schemas.microsoft.com/office/2006/metadata/properties" ma:root="true" ma:fieldsID="eab9665bb0af9cfdaba242b84d69e760" ns2:_="" ns3:_="">
    <xsd:import namespace="32d4d717-cd3a-4b3d-8168-24cfd96cd6ea"/>
    <xsd:import namespace="5cbbe46b-cb1d-4e56-8c99-5e3dbfb293e5"/>
    <xsd:element name="properties">
      <xsd:complexType>
        <xsd:sequence>
          <xsd:element name="documentManagement">
            <xsd:complexType>
              <xsd:all>
                <xsd:element ref="ns2:NotebookType" minOccurs="0"/>
                <xsd:element ref="ns2:FolderType" minOccurs="0"/>
                <xsd:element ref="ns2:CultureName" minOccurs="0"/>
                <xsd:element ref="ns2:AppVersion" minOccurs="0"/>
                <xsd:element ref="ns2:TeamsChannelId" minOccurs="0"/>
                <xsd:element ref="ns2:Owner" minOccurs="0"/>
                <xsd:element ref="ns2:Math_Settings" minOccurs="0"/>
                <xsd:element ref="ns2:DefaultSectionNames" minOccurs="0"/>
                <xsd:element ref="ns2:Templates" minOccurs="0"/>
                <xsd:element ref="ns2:Teachers" minOccurs="0"/>
                <xsd:element ref="ns2:Students" minOccurs="0"/>
                <xsd:element ref="ns2:Student_Groups" minOccurs="0"/>
                <xsd:element ref="ns2:Distribution_Groups" minOccurs="0"/>
                <xsd:element ref="ns2:LMS_Mappings" minOccurs="0"/>
                <xsd:element ref="ns2:Invited_Teachers" minOccurs="0"/>
                <xsd:element ref="ns2:Invited_Students" minOccurs="0"/>
                <xsd:element ref="ns2:Self_Registration_Enabled" minOccurs="0"/>
                <xsd:element ref="ns2:Has_Teacher_Only_SectionGroup" minOccurs="0"/>
                <xsd:element ref="ns2:Is_Collaboration_Space_Locked" minOccurs="0"/>
                <xsd:element ref="ns2:IsNotebookLocked" minOccurs="0"/>
                <xsd:element ref="ns2:Teams_Channel_Section_Location" minOccurs="0"/>
                <xsd:element ref="ns2:MediaServiceMetadata" minOccurs="0"/>
                <xsd:element ref="ns2:MediaServiceFastMetadata" minOccurs="0"/>
                <xsd:element ref="ns2:MediaServiceObjectDetectorVersions" minOccurs="0"/>
                <xsd:element ref="ns2:MediaServiceGenerationTime" minOccurs="0"/>
                <xsd:element ref="ns2:MediaServiceEventHashCode" minOccurs="0"/>
                <xsd:element ref="ns2:MediaLengthInSeconds" minOccurs="0"/>
                <xsd:element ref="ns2:lcf76f155ced4ddcb4097134ff3c332f" minOccurs="0"/>
                <xsd:element ref="ns3:TaxCatchAll" minOccurs="0"/>
                <xsd:element ref="ns2:MediaServiceOCR" minOccurs="0"/>
                <xsd:element ref="ns2:MediaServiceDateTaken" minOccurs="0"/>
                <xsd:element ref="ns3:SharedWithUsers" minOccurs="0"/>
                <xsd:element ref="ns3:SharedWithDetails" minOccurs="0"/>
                <xsd:element ref="ns2:MediaServiceSearchProperties" minOccurs="0"/>
                <xsd:element ref="ns2:Langue" minOccurs="0"/>
                <xsd:element ref="ns2:Group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32d4d717-cd3a-4b3d-8168-24cfd96cd6ea" elementFormDefault="qualified">
    <xsd:import namespace="http://schemas.microsoft.com/office/2006/documentManagement/types"/>
    <xsd:import namespace="http://schemas.microsoft.com/office/infopath/2007/PartnerControls"/>
    <xsd:element name="NotebookType" ma:index="8" nillable="true" ma:displayName="Notebook Type" ma:internalName="NotebookType">
      <xsd:simpleType>
        <xsd:restriction base="dms:Text"/>
      </xsd:simpleType>
    </xsd:element>
    <xsd:element name="FolderType" ma:index="9" nillable="true" ma:displayName="Folder Type" ma:internalName="FolderType">
      <xsd:simpleType>
        <xsd:restriction base="dms:Text"/>
      </xsd:simpleType>
    </xsd:element>
    <xsd:element name="CultureName" ma:index="10" nillable="true" ma:displayName="Culture Name" ma:internalName="CultureName">
      <xsd:simpleType>
        <xsd:restriction base="dms:Text"/>
      </xsd:simpleType>
    </xsd:element>
    <xsd:element name="AppVersion" ma:index="11" nillable="true" ma:displayName="App Version" ma:internalName="AppVersion">
      <xsd:simpleType>
        <xsd:restriction base="dms:Text"/>
      </xsd:simpleType>
    </xsd:element>
    <xsd:element name="TeamsChannelId" ma:index="12" nillable="true" ma:displayName="Teams Channel Id" ma:internalName="TeamsChannelId">
      <xsd:simpleType>
        <xsd:restriction base="dms:Text"/>
      </xsd:simpleType>
    </xsd:element>
    <xsd:element name="Owner" ma:index="13" nillable="true" ma:displayName="Owner" ma:internalName="Owner">
      <xsd:complexType>
        <xsd:complexContent>
          <xsd:extension base="dms:User">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Math_Settings" ma:index="14" nillable="true" ma:displayName="Math Settings" ma:internalName="Math_Settings">
      <xsd:simpleType>
        <xsd:restriction base="dms:Text"/>
      </xsd:simpleType>
    </xsd:element>
    <xsd:element name="DefaultSectionNames" ma:index="15" nillable="true" ma:displayName="Default Section Names" ma:internalName="DefaultSectionNames">
      <xsd:simpleType>
        <xsd:restriction base="dms:Note">
          <xsd:maxLength value="255"/>
        </xsd:restriction>
      </xsd:simpleType>
    </xsd:element>
    <xsd:element name="Templates" ma:index="16" nillable="true" ma:displayName="Templates" ma:internalName="Templates">
      <xsd:simpleType>
        <xsd:restriction base="dms:Note">
          <xsd:maxLength value="255"/>
        </xsd:restriction>
      </xsd:simpleType>
    </xsd:element>
    <xsd:element name="Teachers" ma:index="17" nillable="true" ma:displayName="Teachers" ma:internalName="Teachers">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tudents" ma:index="18" nillable="true" ma:displayName="Students" ma:internalName="Students">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tudent_Groups" ma:index="19" nillable="true" ma:displayName="Student Groups" ma:internalName="Student_Groups">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Distribution_Groups" ma:index="20" nillable="true" ma:displayName="Distribution Groups" ma:internalName="Distribution_Groups">
      <xsd:simpleType>
        <xsd:restriction base="dms:Note">
          <xsd:maxLength value="255"/>
        </xsd:restriction>
      </xsd:simpleType>
    </xsd:element>
    <xsd:element name="LMS_Mappings" ma:index="21" nillable="true" ma:displayName="LMS Mappings" ma:internalName="LMS_Mappings">
      <xsd:simpleType>
        <xsd:restriction base="dms:Note">
          <xsd:maxLength value="255"/>
        </xsd:restriction>
      </xsd:simpleType>
    </xsd:element>
    <xsd:element name="Invited_Teachers" ma:index="22" nillable="true" ma:displayName="Invited Teachers" ma:internalName="Invited_Teachers">
      <xsd:simpleType>
        <xsd:restriction base="dms:Note">
          <xsd:maxLength value="255"/>
        </xsd:restriction>
      </xsd:simpleType>
    </xsd:element>
    <xsd:element name="Invited_Students" ma:index="23" nillable="true" ma:displayName="Invited Students" ma:internalName="Invited_Students">
      <xsd:simpleType>
        <xsd:restriction base="dms:Note">
          <xsd:maxLength value="255"/>
        </xsd:restriction>
      </xsd:simpleType>
    </xsd:element>
    <xsd:element name="Self_Registration_Enabled" ma:index="24" nillable="true" ma:displayName="Self Registration Enabled" ma:internalName="Self_Registration_Enabled">
      <xsd:simpleType>
        <xsd:restriction base="dms:Boolean"/>
      </xsd:simpleType>
    </xsd:element>
    <xsd:element name="Has_Teacher_Only_SectionGroup" ma:index="25" nillable="true" ma:displayName="Has Teacher Only SectionGroup" ma:internalName="Has_Teacher_Only_SectionGroup">
      <xsd:simpleType>
        <xsd:restriction base="dms:Boolean"/>
      </xsd:simpleType>
    </xsd:element>
    <xsd:element name="Is_Collaboration_Space_Locked" ma:index="26" nillable="true" ma:displayName="Is Collaboration Space Locked" ma:internalName="Is_Collaboration_Space_Locked">
      <xsd:simpleType>
        <xsd:restriction base="dms:Boolean"/>
      </xsd:simpleType>
    </xsd:element>
    <xsd:element name="IsNotebookLocked" ma:index="27" nillable="true" ma:displayName="Is Notebook Locked" ma:internalName="IsNotebookLocked">
      <xsd:simpleType>
        <xsd:restriction base="dms:Boolean"/>
      </xsd:simpleType>
    </xsd:element>
    <xsd:element name="Teams_Channel_Section_Location" ma:index="28" nillable="true" ma:displayName="Teams Channel Section Location" ma:internalName="Teams_Channel_Section_Location">
      <xsd:simpleType>
        <xsd:restriction base="dms:Text"/>
      </xsd:simpleType>
    </xsd:element>
    <xsd:element name="MediaServiceMetadata" ma:index="29" nillable="true" ma:displayName="MediaServiceMetadata" ma:hidden="true" ma:internalName="MediaServiceMetadata" ma:readOnly="true">
      <xsd:simpleType>
        <xsd:restriction base="dms:Note"/>
      </xsd:simpleType>
    </xsd:element>
    <xsd:element name="MediaServiceFastMetadata" ma:index="30" nillable="true" ma:displayName="MediaServiceFastMetadata" ma:hidden="true" ma:internalName="MediaServiceFastMetadata" ma:readOnly="true">
      <xsd:simpleType>
        <xsd:restriction base="dms:Note"/>
      </xsd:simpleType>
    </xsd:element>
    <xsd:element name="MediaServiceObjectDetectorVersions" ma:index="31" nillable="true" ma:displayName="MediaServiceObjectDetectorVersions" ma:hidden="true" ma:indexed="true" ma:internalName="MediaServiceObjectDetectorVersions" ma:readOnly="true">
      <xsd:simpleType>
        <xsd:restriction base="dms:Text"/>
      </xsd:simpleType>
    </xsd:element>
    <xsd:element name="MediaServiceGenerationTime" ma:index="32" nillable="true" ma:displayName="MediaServiceGenerationTime" ma:hidden="true" ma:internalName="MediaServiceGenerationTime" ma:readOnly="true">
      <xsd:simpleType>
        <xsd:restriction base="dms:Text"/>
      </xsd:simpleType>
    </xsd:element>
    <xsd:element name="MediaServiceEventHashCode" ma:index="33" nillable="true" ma:displayName="MediaServiceEventHashCode" ma:hidden="true" ma:internalName="MediaServiceEventHashCode" ma:readOnly="true">
      <xsd:simpleType>
        <xsd:restriction base="dms:Text"/>
      </xsd:simpleType>
    </xsd:element>
    <xsd:element name="MediaLengthInSeconds" ma:index="34" nillable="true" ma:displayName="MediaLengthInSeconds" ma:hidden="true" ma:internalName="MediaLengthInSeconds" ma:readOnly="true">
      <xsd:simpleType>
        <xsd:restriction base="dms:Unknown"/>
      </xsd:simpleType>
    </xsd:element>
    <xsd:element name="lcf76f155ced4ddcb4097134ff3c332f" ma:index="36" nillable="true" ma:taxonomy="true" ma:internalName="lcf76f155ced4ddcb4097134ff3c332f" ma:taxonomyFieldName="MediaServiceImageTags" ma:displayName="Balises d’images" ma:readOnly="false" ma:fieldId="{5cf76f15-5ced-4ddc-b409-7134ff3c332f}" ma:taxonomyMulti="true" ma:sspId="fbd933d8-63e4-4f7e-90f6-66429bb13b47" ma:termSetId="09814cd3-568e-fe90-9814-8d621ff8fb84" ma:anchorId="fba54fb3-c3e1-fe81-a776-ca4b69148c4d" ma:open="true" ma:isKeyword="false">
      <xsd:complexType>
        <xsd:sequence>
          <xsd:element ref="pc:Terms" minOccurs="0" maxOccurs="1"/>
        </xsd:sequence>
      </xsd:complexType>
    </xsd:element>
    <xsd:element name="MediaServiceOCR" ma:index="38" nillable="true" ma:displayName="Extracted Text" ma:internalName="MediaServiceOCR" ma:readOnly="true">
      <xsd:simpleType>
        <xsd:restriction base="dms:Note">
          <xsd:maxLength value="255"/>
        </xsd:restriction>
      </xsd:simpleType>
    </xsd:element>
    <xsd:element name="MediaServiceDateTaken" ma:index="39" nillable="true" ma:displayName="MediaServiceDateTaken" ma:hidden="true" ma:indexed="true" ma:internalName="MediaServiceDateTaken" ma:readOnly="true">
      <xsd:simpleType>
        <xsd:restriction base="dms:Text"/>
      </xsd:simpleType>
    </xsd:element>
    <xsd:element name="MediaServiceSearchProperties" ma:index="42" nillable="true" ma:displayName="MediaServiceSearchProperties" ma:hidden="true" ma:internalName="MediaServiceSearchProperties" ma:readOnly="true">
      <xsd:simpleType>
        <xsd:restriction base="dms:Note"/>
      </xsd:simpleType>
    </xsd:element>
    <xsd:element name="Langue" ma:index="43" nillable="true" ma:displayName="Langue" ma:default="FD = français voie bili" ma:description="F = Français&#10;D = Deutsch&#10;DF = deutsch voie bili&#10;FD = français voie bili" ma:format="Dropdown" ma:internalName="Langue">
      <xsd:simpleType>
        <xsd:restriction base="dms:Text">
          <xsd:maxLength value="255"/>
        </xsd:restriction>
      </xsd:simpleType>
    </xsd:element>
    <xsd:element name="Groupe" ma:index="44" nillable="true" ma:displayName="Groupe" ma:description="Numéro du groupe de deux personnes" ma:format="Dropdown" ma:internalName="Groupe" ma:percentage="FALSE">
      <xsd:simpleType>
        <xsd:restriction base="dms:Number"/>
      </xsd:simpleType>
    </xsd:element>
  </xsd:schema>
  <xsd:schema xmlns:xsd="http://www.w3.org/2001/XMLSchema" xmlns:xs="http://www.w3.org/2001/XMLSchema" xmlns:dms="http://schemas.microsoft.com/office/2006/documentManagement/types" xmlns:pc="http://schemas.microsoft.com/office/infopath/2007/PartnerControls" targetNamespace="5cbbe46b-cb1d-4e56-8c99-5e3dbfb293e5" elementFormDefault="qualified">
    <xsd:import namespace="http://schemas.microsoft.com/office/2006/documentManagement/types"/>
    <xsd:import namespace="http://schemas.microsoft.com/office/infopath/2007/PartnerControls"/>
    <xsd:element name="TaxCatchAll" ma:index="37" nillable="true" ma:displayName="Taxonomy Catch All Column" ma:hidden="true" ma:list="{1733f708-4d36-4008-a0be-686484e76be2}" ma:internalName="TaxCatchAll" ma:showField="CatchAllData" ma:web="5cbbe46b-cb1d-4e56-8c99-5e3dbfb293e5">
      <xsd:complexType>
        <xsd:complexContent>
          <xsd:extension base="dms:MultiChoiceLookup">
            <xsd:sequence>
              <xsd:element name="Value" type="dms:Lookup" maxOccurs="unbounded" minOccurs="0" nillable="true"/>
            </xsd:sequence>
          </xsd:extension>
        </xsd:complexContent>
      </xsd:complexType>
    </xsd:element>
    <xsd:element name="SharedWithUsers" ma:index="40" nillable="true" ma:displayName="Partagé avec"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41" nillable="true" ma:displayName="Partagé avec dé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ype de contenu"/>
        <xsd:element ref="dc:title" minOccurs="0" maxOccurs="1" ma:index="4" ma:displayName="Titr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AppVersion xmlns="32d4d717-cd3a-4b3d-8168-24cfd96cd6ea" xsi:nil="true"/>
    <Invited_Students xmlns="32d4d717-cd3a-4b3d-8168-24cfd96cd6ea" xsi:nil="true"/>
    <Owner xmlns="32d4d717-cd3a-4b3d-8168-24cfd96cd6ea">
      <UserInfo>
        <DisplayName/>
        <AccountId xsi:nil="true"/>
        <AccountType/>
      </UserInfo>
    </Owner>
    <Teams_Channel_Section_Location xmlns="32d4d717-cd3a-4b3d-8168-24cfd96cd6ea" xsi:nil="true"/>
    <DefaultSectionNames xmlns="32d4d717-cd3a-4b3d-8168-24cfd96cd6ea" xsi:nil="true"/>
    <TeamsChannelId xmlns="32d4d717-cd3a-4b3d-8168-24cfd96cd6ea" xsi:nil="true"/>
    <Invited_Teachers xmlns="32d4d717-cd3a-4b3d-8168-24cfd96cd6ea" xsi:nil="true"/>
    <FolderType xmlns="32d4d717-cd3a-4b3d-8168-24cfd96cd6ea" xsi:nil="true"/>
    <CultureName xmlns="32d4d717-cd3a-4b3d-8168-24cfd96cd6ea" xsi:nil="true"/>
    <Student_Groups xmlns="32d4d717-cd3a-4b3d-8168-24cfd96cd6ea">
      <UserInfo>
        <DisplayName/>
        <AccountId xsi:nil="true"/>
        <AccountType/>
      </UserInfo>
    </Student_Groups>
    <Self_Registration_Enabled xmlns="32d4d717-cd3a-4b3d-8168-24cfd96cd6ea" xsi:nil="true"/>
    <Is_Collaboration_Space_Locked xmlns="32d4d717-cd3a-4b3d-8168-24cfd96cd6ea" xsi:nil="true"/>
    <Teachers xmlns="32d4d717-cd3a-4b3d-8168-24cfd96cd6ea">
      <UserInfo>
        <DisplayName/>
        <AccountId xsi:nil="true"/>
        <AccountType/>
      </UserInfo>
    </Teachers>
    <Students xmlns="32d4d717-cd3a-4b3d-8168-24cfd96cd6ea">
      <UserInfo>
        <DisplayName/>
        <AccountId xsi:nil="true"/>
        <AccountType/>
      </UserInfo>
    </Students>
    <lcf76f155ced4ddcb4097134ff3c332f xmlns="32d4d717-cd3a-4b3d-8168-24cfd96cd6ea">
      <Terms xmlns="http://schemas.microsoft.com/office/infopath/2007/PartnerControls"/>
    </lcf76f155ced4ddcb4097134ff3c332f>
    <Templates xmlns="32d4d717-cd3a-4b3d-8168-24cfd96cd6ea" xsi:nil="true"/>
    <LMS_Mappings xmlns="32d4d717-cd3a-4b3d-8168-24cfd96cd6ea" xsi:nil="true"/>
    <IsNotebookLocked xmlns="32d4d717-cd3a-4b3d-8168-24cfd96cd6ea" xsi:nil="true"/>
    <NotebookType xmlns="32d4d717-cd3a-4b3d-8168-24cfd96cd6ea" xsi:nil="true"/>
    <Distribution_Groups xmlns="32d4d717-cd3a-4b3d-8168-24cfd96cd6ea" xsi:nil="true"/>
    <Math_Settings xmlns="32d4d717-cd3a-4b3d-8168-24cfd96cd6ea" xsi:nil="true"/>
    <Has_Teacher_Only_SectionGroup xmlns="32d4d717-cd3a-4b3d-8168-24cfd96cd6ea" xsi:nil="true"/>
    <TaxCatchAll xmlns="5cbbe46b-cb1d-4e56-8c99-5e3dbfb293e5" xsi:nil="true"/>
    <SharedWithUsers xmlns="5cbbe46b-cb1d-4e56-8c99-5e3dbfb293e5">
      <UserInfo>
        <DisplayName/>
        <AccountId xsi:nil="true"/>
        <AccountType/>
      </UserInfo>
    </SharedWithUsers>
    <MediaLengthInSeconds xmlns="32d4d717-cd3a-4b3d-8168-24cfd96cd6ea" xsi:nil="true"/>
    <Groupe xmlns="32d4d717-cd3a-4b3d-8168-24cfd96cd6ea" xsi:nil="true"/>
    <Langue xmlns="32d4d717-cd3a-4b3d-8168-24cfd96cd6ea">FD = français voie bili</Langue>
  </documentManagement>
</p:properties>
</file>

<file path=customXml/itemProps1.xml><?xml version="1.0" encoding="utf-8"?>
<ds:datastoreItem xmlns:ds="http://schemas.openxmlformats.org/officeDocument/2006/customXml" ds:itemID="{CA445AE9-3816-4E66-9DE6-AF42B0662460}">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32d4d717-cd3a-4b3d-8168-24cfd96cd6ea"/>
    <ds:schemaRef ds:uri="5cbbe46b-cb1d-4e56-8c99-5e3dbfb293e5"/>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34A0F71E-9B9F-4628-8A94-D320BA80A1D3}">
  <ds:schemaRefs>
    <ds:schemaRef ds:uri="http://schemas.microsoft.com/sharepoint/v3/contenttype/forms"/>
  </ds:schemaRefs>
</ds:datastoreItem>
</file>

<file path=customXml/itemProps3.xml><?xml version="1.0" encoding="utf-8"?>
<ds:datastoreItem xmlns:ds="http://schemas.openxmlformats.org/officeDocument/2006/customXml" ds:itemID="{6A574440-4762-4322-B305-C51AEF435DC1}">
  <ds:schemaRefs>
    <ds:schemaRef ds:uri="http://schemas.microsoft.com/office/2006/documentManagement/types"/>
    <ds:schemaRef ds:uri="http://purl.org/dc/elements/1.1/"/>
    <ds:schemaRef ds:uri="http://www.w3.org/XML/1998/namespace"/>
    <ds:schemaRef ds:uri="http://schemas.microsoft.com/office/infopath/2007/PartnerControls"/>
    <ds:schemaRef ds:uri="32d4d717-cd3a-4b3d-8168-24cfd96cd6ea"/>
    <ds:schemaRef ds:uri="http://purl.org/dc/dcmitype/"/>
    <ds:schemaRef ds:uri="http://purl.org/dc/terms/"/>
    <ds:schemaRef ds:uri="http://schemas.openxmlformats.org/package/2006/metadata/core-properties"/>
    <ds:schemaRef ds:uri="5cbbe46b-cb1d-4e56-8c99-5e3dbfb293e5"/>
    <ds:schemaRef ds:uri="http://schemas.microsoft.com/office/2006/metadata/properties"/>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1</vt:i4>
      </vt:variant>
      <vt:variant>
        <vt:lpstr>Named Ranges</vt:lpstr>
      </vt:variant>
      <vt:variant>
        <vt:i4>2</vt:i4>
      </vt:variant>
    </vt:vector>
  </HeadingPairs>
  <TitlesOfParts>
    <vt:vector size="3" baseType="lpstr">
      <vt:lpstr>Journal</vt:lpstr>
      <vt:lpstr>Journal!Print_Area</vt:lpstr>
      <vt:lpstr>Journal!Print_Titles</vt:lpstr>
    </vt:vector>
  </TitlesOfParts>
  <Manager/>
  <Company>EMF</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Guisolan Christian</dc:creator>
  <cp:keywords/>
  <dc:description/>
  <cp:lastModifiedBy>Valentin Gremaud</cp:lastModifiedBy>
  <cp:revision/>
  <dcterms:created xsi:type="dcterms:W3CDTF">2002-03-11T12:50:08Z</dcterms:created>
  <dcterms:modified xsi:type="dcterms:W3CDTF">2026-01-12T13:55:25Z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0x010100280ED870E36F6F4C976CEAC6988F82A5</vt:lpwstr>
  </property>
  <property fmtid="{D5CDD505-2E9C-101B-9397-08002B2CF9AE}" pid="3" name="Order">
    <vt:r8>4324500</vt:r8>
  </property>
  <property fmtid="{D5CDD505-2E9C-101B-9397-08002B2CF9AE}" pid="4" name="xd_ProgID">
    <vt:lpwstr/>
  </property>
  <property fmtid="{D5CDD505-2E9C-101B-9397-08002B2CF9AE}" pid="5" name="ComplianceAssetId">
    <vt:lpwstr/>
  </property>
  <property fmtid="{D5CDD505-2E9C-101B-9397-08002B2CF9AE}" pid="6" name="TemplateUrl">
    <vt:lpwstr/>
  </property>
  <property fmtid="{D5CDD505-2E9C-101B-9397-08002B2CF9AE}" pid="7" name="_ExtendedDescription">
    <vt:lpwstr/>
  </property>
  <property fmtid="{D5CDD505-2E9C-101B-9397-08002B2CF9AE}" pid="8" name="TriggerFlowInfo">
    <vt:lpwstr/>
  </property>
  <property fmtid="{D5CDD505-2E9C-101B-9397-08002B2CF9AE}" pid="9" name="xd_Signature">
    <vt:bool>false</vt:bool>
  </property>
  <property fmtid="{D5CDD505-2E9C-101B-9397-08002B2CF9AE}" pid="10" name="MediaServiceImageTags">
    <vt:lpwstr/>
  </property>
</Properties>
</file>