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heckCompatibility="1"/>
  <mc:AlternateContent xmlns:mc="http://schemas.openxmlformats.org/markup-compatibility/2006">
    <mc:Choice Requires="x15">
      <x15ac:absPath xmlns:x15ac="http://schemas.microsoft.com/office/spreadsheetml/2010/11/ac" url="/Users/valentingremaud/Documents/EMF/INFO/Modules/306/306-project-groupe-2/documentation/"/>
    </mc:Choice>
  </mc:AlternateContent>
  <xr:revisionPtr revIDLastSave="0" documentId="13_ncr:1_{3AFC40D7-1659-4848-9341-FF85395FA921}" xr6:coauthVersionLast="47" xr6:coauthVersionMax="47" xr10:uidLastSave="{00000000-0000-0000-0000-000000000000}"/>
  <bookViews>
    <workbookView xWindow="0" yWindow="680" windowWidth="30240" windowHeight="17520" xr2:uid="{00000000-000D-0000-FFFF-FFFF00000000}"/>
  </bookViews>
  <sheets>
    <sheet name="Journal" sheetId="8" r:id="rId1"/>
  </sheets>
  <definedNames>
    <definedName name="_xlnm.Print_Area" localSheetId="0">Journal!$A$1:$D$61</definedName>
    <definedName name="_xlnm.Print_Titles" localSheetId="0">Journal!$B:$D,Journal!$1:$5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8" l="1"/>
  <c r="D59" i="8"/>
  <c r="D51" i="8"/>
  <c r="D73" i="8"/>
  <c r="D65" i="8"/>
  <c r="D69" i="8"/>
  <c r="D74" i="8"/>
  <c r="D17" i="8"/>
  <c r="D9" i="8"/>
  <c r="D13" i="8"/>
  <c r="D18" i="8"/>
  <c r="D23" i="8"/>
  <c r="D27" i="8"/>
  <c r="D31" i="8"/>
  <c r="D32" i="8"/>
  <c r="D37" i="8"/>
  <c r="D41" i="8"/>
  <c r="D45" i="8"/>
  <c r="D46" i="8"/>
  <c r="D60" i="8"/>
  <c r="D76" i="8"/>
</calcChain>
</file>

<file path=xl/sharedStrings.xml><?xml version="1.0" encoding="utf-8"?>
<sst xmlns="http://schemas.openxmlformats.org/spreadsheetml/2006/main" count="60" uniqueCount="37">
  <si>
    <t>Gremaud Valentin</t>
  </si>
  <si>
    <t>Problème</t>
  </si>
  <si>
    <t>Solution</t>
  </si>
  <si>
    <t>Date</t>
  </si>
  <si>
    <t>Travail effectué</t>
  </si>
  <si>
    <t>Temps</t>
  </si>
  <si>
    <t>Absence</t>
  </si>
  <si>
    <t>[H.h]</t>
  </si>
  <si>
    <t>Rencontre</t>
  </si>
  <si>
    <t>Total &gt;</t>
  </si>
  <si>
    <r>
      <t xml:space="preserve">Réflexion personnelle hebdomadaire </t>
    </r>
    <r>
      <rPr>
        <sz val="8"/>
        <rFont val="Calibri"/>
        <family val="2"/>
      </rPr>
      <t>↓↓↓</t>
    </r>
  </si>
  <si>
    <t>Total de la semaine &gt;</t>
  </si>
  <si>
    <t>Total général &gt;</t>
  </si>
  <si>
    <r>
      <t>Projet :</t>
    </r>
    <r>
      <rPr>
        <b/>
        <sz val="14"/>
        <color rgb="FF000000"/>
        <rFont val="Arial"/>
        <family val="2"/>
      </rPr>
      <t xml:space="preserve"> ArcadiaBox</t>
    </r>
  </si>
  <si>
    <t>Férié</t>
  </si>
  <si>
    <t>Documentation initiale : planification et architecture</t>
  </si>
  <si>
    <t>Configuration Raspberry Pi / serveur (aide à Diogo)</t>
  </si>
  <si>
    <t>Validation des différentes tâches terminé par mes collègues</t>
  </si>
  <si>
    <t>J'ai bien bossé aujourd'hui, je crois avoir bien rempli mon travail de product owner en ayant défini l'objectif de notre sprint et m'étant assuré que chacun ait du travail. J'ai peu codé ou travaillé concrètement sur le projet hors mis que j'ai aidé diogo dans la config.</t>
  </si>
  <si>
    <t>Documentation de la conception</t>
  </si>
  <si>
    <t>Configuration de la Raspberry</t>
  </si>
  <si>
    <t>Installation du serveur web sur la raspberry</t>
  </si>
  <si>
    <t>Déploiement sur la raspberry du PACMAN</t>
  </si>
  <si>
    <t>Test du jeu déployé (Bug de fluidité)</t>
  </si>
  <si>
    <t>Changement d'OS sur la raspberry pour optimiser la fluidité</t>
  </si>
  <si>
    <t>Lecture du cahier des charges</t>
  </si>
  <si>
    <t>Création d'un business case</t>
  </si>
  <si>
    <t>Rencontre avec le client (kick-off)</t>
  </si>
  <si>
    <t>Préparation de la rencontre avec client</t>
  </si>
  <si>
    <t>Documentation initiale</t>
  </si>
  <si>
    <t>Aide à Axelle pour le planning</t>
  </si>
  <si>
    <t>Users stories et product backlog</t>
  </si>
  <si>
    <t>C'était la semaine de lancement du projet donc je n'ai pas forcément fait énormément de travail mais j'ai surtout réfléchi comment mener à bien le projet de la meilleure manière.</t>
  </si>
  <si>
    <t>Test du jeu (validation des critères)</t>
  </si>
  <si>
    <t>Préparation du sprint suivant</t>
  </si>
  <si>
    <t>Séance scrum et planning</t>
  </si>
  <si>
    <t>Cette semaine, j'ai géré mon travail de product owner de la bonne manière je pense, mes collègues avaient toujours du boulot grâce à cela. J'ai bien suivi leur travail aussi afin de livrer la MVP. Je pense que je peux continuer comme 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</si>
</sst>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sz val="8"/>
      <name val="Arial"/>
      <family val="2"/>
    </font>
    <font>
      <sz val="14"/>
      <name val="Arial"/>
      <family val="2"/>
    </font>
    <font>
      <b/>
      <sz val="16"/>
      <name val="Arial"/>
      <family val="2"/>
    </font>
    <font>
      <sz val="9"/>
      <name val="Arial"/>
      <family val="2"/>
    </font>
    <font>
      <sz val="8"/>
      <name val="Calibri"/>
      <family val="2"/>
    </font>
    <font>
      <b/>
      <sz val="8"/>
      <name val="Arial"/>
      <family val="2"/>
    </font>
    <font>
      <b/>
      <sz val="16"/>
      <color rgb="FF000000"/>
      <name val="Arial"/>
      <family val="2"/>
    </font>
    <font>
      <b/>
      <sz val="14"/>
      <color rgb="FF000000"/>
      <name val="Arial"/>
      <family val="2"/>
    </font>
    <font>
      <sz val="1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0070C0"/>
        <bgColor indexed="64"/>
      </patternFill>
    </fill>
    <fill>
      <patternFill patternType="solid">
        <fgColor rgb="FFC00000"/>
        <bgColor indexed="64"/>
      </patternFill>
    </fill>
    <fill>
      <patternFill patternType="solid">
        <fgColor rgb="FF00B05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Protection="1">
      <protection locked="0"/>
    </xf>
    <xf numFmtId="0" fontId="2" fillId="2" borderId="9" xfId="0" applyFont="1" applyFill="1" applyBorder="1" applyAlignment="1" applyProtection="1">
      <alignment horizontal="left" vertical="center"/>
      <protection locked="0"/>
    </xf>
    <xf numFmtId="0" fontId="2" fillId="2" borderId="15" xfId="0" applyFont="1" applyFill="1" applyBorder="1" applyAlignment="1" applyProtection="1">
      <alignment horizontal="right" vertical="center"/>
      <protection locked="0"/>
    </xf>
    <xf numFmtId="0" fontId="1" fillId="0" borderId="6" xfId="0" applyFont="1" applyBorder="1" applyAlignment="1" applyProtection="1">
      <alignment horizontal="center"/>
      <protection locked="0"/>
    </xf>
    <xf numFmtId="0" fontId="5" fillId="0" borderId="3" xfId="0" applyFont="1" applyBorder="1" applyAlignment="1" applyProtection="1">
      <alignment horizontal="center"/>
      <protection locked="0"/>
    </xf>
    <xf numFmtId="165" fontId="2" fillId="0" borderId="6" xfId="0" applyNumberFormat="1" applyFont="1" applyBorder="1" applyAlignment="1" applyProtection="1">
      <alignment horizontal="center" vertical="center"/>
      <protection locked="0"/>
    </xf>
    <xf numFmtId="165" fontId="2" fillId="0" borderId="4" xfId="0" applyNumberFormat="1" applyFont="1" applyBorder="1" applyAlignment="1" applyProtection="1">
      <alignment horizontal="center" vertical="center"/>
      <protection locked="0"/>
    </xf>
    <xf numFmtId="165" fontId="2" fillId="0" borderId="1" xfId="0" applyNumberFormat="1" applyFont="1" applyBorder="1" applyAlignment="1" applyProtection="1">
      <alignment horizontal="center" vertical="center"/>
      <protection locked="0"/>
    </xf>
    <xf numFmtId="165" fontId="7" fillId="0" borderId="1" xfId="0" applyNumberFormat="1" applyFont="1" applyBorder="1" applyAlignment="1" applyProtection="1">
      <alignment horizontal="center" vertical="center"/>
      <protection locked="0"/>
    </xf>
    <xf numFmtId="0" fontId="2" fillId="2" borderId="19" xfId="0" applyFont="1" applyFill="1" applyBorder="1" applyAlignment="1" applyProtection="1">
      <alignment horizontal="right" vertical="center"/>
      <protection locked="0"/>
    </xf>
    <xf numFmtId="165" fontId="2" fillId="2" borderId="1" xfId="0" applyNumberFormat="1" applyFont="1" applyFill="1" applyBorder="1" applyAlignment="1" applyProtection="1">
      <alignment horizontal="center" vertical="center"/>
      <protection locked="0"/>
    </xf>
    <xf numFmtId="0" fontId="2" fillId="2" borderId="1" xfId="0" applyFont="1" applyFill="1" applyBorder="1" applyAlignment="1" applyProtection="1">
      <alignment horizontal="right" vertical="center"/>
      <protection locked="0"/>
    </xf>
    <xf numFmtId="0" fontId="0" fillId="3" borderId="0" xfId="0" applyFill="1" applyProtection="1">
      <protection locked="0"/>
    </xf>
    <xf numFmtId="0" fontId="0" fillId="4" borderId="0" xfId="0" applyFill="1" applyProtection="1">
      <protection locked="0"/>
    </xf>
    <xf numFmtId="0" fontId="0" fillId="5" borderId="0" xfId="0" applyFill="1" applyProtection="1">
      <protection locked="0"/>
    </xf>
    <xf numFmtId="0" fontId="0" fillId="6" borderId="0" xfId="0" applyFill="1" applyProtection="1">
      <protection locked="0"/>
    </xf>
    <xf numFmtId="164" fontId="0" fillId="0" borderId="6" xfId="0" applyNumberFormat="1" applyBorder="1" applyAlignment="1" applyProtection="1">
      <alignment horizontal="center" vertical="center"/>
      <protection locked="0"/>
    </xf>
    <xf numFmtId="164" fontId="0" fillId="0" borderId="4" xfId="0" applyNumberFormat="1" applyBorder="1" applyAlignment="1" applyProtection="1">
      <alignment horizontal="center" vertical="center"/>
      <protection locked="0"/>
    </xf>
    <xf numFmtId="0" fontId="2" fillId="0" borderId="9" xfId="0" applyFont="1" applyBorder="1" applyAlignment="1" applyProtection="1">
      <alignment horizontal="left" vertical="center"/>
      <protection locked="0"/>
    </xf>
    <xf numFmtId="0" fontId="2" fillId="0" borderId="15"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2" fillId="0" borderId="5" xfId="0" applyFont="1" applyBorder="1" applyAlignment="1" applyProtection="1">
      <alignment horizontal="left" vertical="center"/>
      <protection locked="0"/>
    </xf>
    <xf numFmtId="0" fontId="2" fillId="2" borderId="17" xfId="0" applyFont="1" applyFill="1" applyBorder="1" applyAlignment="1" applyProtection="1">
      <alignment horizontal="left" vertical="center"/>
      <protection locked="0"/>
    </xf>
    <xf numFmtId="0" fontId="2" fillId="2" borderId="19" xfId="0" applyFont="1" applyFill="1" applyBorder="1" applyAlignment="1" applyProtection="1">
      <alignment horizontal="left" vertical="center"/>
      <protection locked="0"/>
    </xf>
    <xf numFmtId="164" fontId="0" fillId="0" borderId="11" xfId="0" applyNumberFormat="1" applyBorder="1" applyAlignment="1" applyProtection="1">
      <alignment horizontal="left" vertical="center"/>
      <protection locked="0"/>
    </xf>
    <xf numFmtId="164" fontId="0" fillId="0" borderId="16" xfId="0" applyNumberFormat="1" applyBorder="1" applyAlignment="1" applyProtection="1">
      <alignment horizontal="left" vertical="center"/>
      <protection locked="0"/>
    </xf>
    <xf numFmtId="164" fontId="0" fillId="0" borderId="14" xfId="0" applyNumberFormat="1" applyBorder="1" applyAlignment="1" applyProtection="1">
      <alignment horizontal="left" vertical="center"/>
      <protection locked="0"/>
    </xf>
    <xf numFmtId="164" fontId="0" fillId="0" borderId="19" xfId="0" applyNumberFormat="1" applyBorder="1" applyAlignment="1" applyProtection="1">
      <alignment horizontal="left" vertical="center"/>
      <protection locked="0"/>
    </xf>
    <xf numFmtId="164" fontId="0" fillId="0" borderId="18" xfId="0" applyNumberFormat="1" applyBorder="1" applyAlignment="1" applyProtection="1">
      <alignment horizontal="left" vertical="center"/>
      <protection locked="0"/>
    </xf>
    <xf numFmtId="164" fontId="10" fillId="0" borderId="17" xfId="0" applyNumberFormat="1" applyFont="1" applyBorder="1" applyAlignment="1" applyProtection="1">
      <alignment horizontal="left" vertical="center"/>
      <protection locked="0"/>
    </xf>
    <xf numFmtId="164" fontId="10" fillId="0" borderId="4" xfId="0" applyNumberFormat="1" applyFont="1" applyBorder="1" applyAlignment="1" applyProtection="1">
      <alignment horizontal="center" vertical="center"/>
      <protection locked="0"/>
    </xf>
    <xf numFmtId="0" fontId="2" fillId="6" borderId="10" xfId="0" applyFont="1" applyFill="1" applyBorder="1" applyAlignment="1" applyProtection="1">
      <alignment horizontal="left" vertical="center"/>
      <protection locked="0"/>
    </xf>
    <xf numFmtId="0" fontId="2" fillId="6" borderId="5" xfId="0" applyFont="1" applyFill="1" applyBorder="1" applyAlignment="1" applyProtection="1">
      <alignment horizontal="left" vertical="center"/>
      <protection locked="0"/>
    </xf>
    <xf numFmtId="0" fontId="2" fillId="4" borderId="9" xfId="0" applyFont="1" applyFill="1" applyBorder="1" applyAlignment="1" applyProtection="1">
      <alignment horizontal="center" vertical="center"/>
      <protection locked="0"/>
    </xf>
    <xf numFmtId="0" fontId="2" fillId="4" borderId="15" xfId="0"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0" fontId="2" fillId="4" borderId="5" xfId="0" applyFont="1" applyFill="1" applyBorder="1" applyAlignment="1" applyProtection="1">
      <alignment horizontal="center" vertical="center"/>
      <protection locked="0"/>
    </xf>
    <xf numFmtId="0" fontId="2" fillId="4" borderId="11" xfId="0" applyFont="1" applyFill="1" applyBorder="1" applyAlignment="1" applyProtection="1">
      <alignment horizontal="center" vertical="center"/>
      <protection locked="0"/>
    </xf>
    <xf numFmtId="0" fontId="2" fillId="4" borderId="14" xfId="0" applyFont="1" applyFill="1" applyBorder="1" applyAlignment="1" applyProtection="1">
      <alignment horizontal="center" vertical="center"/>
      <protection locked="0"/>
    </xf>
    <xf numFmtId="0" fontId="8" fillId="0" borderId="0" xfId="0" applyFont="1" applyAlignment="1" applyProtection="1">
      <alignment horizontal="left"/>
      <protection locked="0"/>
    </xf>
    <xf numFmtId="0" fontId="4" fillId="0" borderId="0" xfId="0" applyFont="1" applyAlignment="1" applyProtection="1">
      <alignment horizontal="left"/>
      <protection locked="0"/>
    </xf>
    <xf numFmtId="0" fontId="1" fillId="0" borderId="9" xfId="0" applyFont="1" applyBorder="1" applyAlignment="1" applyProtection="1">
      <alignment horizontal="left" vertical="center"/>
      <protection locked="0"/>
    </xf>
    <xf numFmtId="0" fontId="1" fillId="0" borderId="15"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13"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0" borderId="12" xfId="0" applyFont="1" applyBorder="1" applyAlignment="1" applyProtection="1">
      <alignment horizontal="left" vertical="center"/>
      <protection locked="0"/>
    </xf>
    <xf numFmtId="0" fontId="3" fillId="0" borderId="0" xfId="0" applyFont="1" applyAlignment="1" applyProtection="1">
      <alignment horizontal="left"/>
      <protection locked="0"/>
    </xf>
    <xf numFmtId="164" fontId="0" fillId="0" borderId="2" xfId="0" applyNumberFormat="1" applyBorder="1" applyAlignment="1" applyProtection="1">
      <alignment horizontal="center" vertical="center"/>
      <protection locked="0"/>
    </xf>
  </cellXfs>
  <cellStyles count="1">
    <cellStyle name="Normal" xfId="0" builtinId="0"/>
  </cellStyles>
  <dxfs count="12">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colors>
    <mruColors>
      <color rgb="FF00A4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zoomScale="150" zoomScaleNormal="115" zoomScaleSheetLayoutView="115" workbookViewId="0">
      <pane xSplit="4" ySplit="5" topLeftCell="E33" activePane="bottomRight" state="frozenSplit"/>
      <selection pane="topRight" activeCell="K1" sqref="K1"/>
      <selection pane="bottomLeft" activeCell="A13" sqref="A13"/>
      <selection pane="bottomRight" activeCell="A47" sqref="A47:D47"/>
    </sheetView>
  </sheetViews>
  <sheetFormatPr baseColWidth="10" defaultColWidth="11.5" defaultRowHeight="13" x14ac:dyDescent="0.15"/>
  <cols>
    <col min="1" max="1" width="11.5" style="1"/>
    <col min="2" max="2" width="31.6640625" style="1" customWidth="1"/>
    <col min="3" max="3" width="36.6640625" style="1" customWidth="1"/>
    <col min="4" max="4" width="11.5" style="1" customWidth="1"/>
    <col min="5" max="7" width="9.1640625" style="1" customWidth="1"/>
    <col min="8" max="8" width="4.5" style="1" customWidth="1"/>
    <col min="9" max="9" width="10.83203125" style="1" customWidth="1"/>
    <col min="10" max="217" width="9.1640625" style="1" customWidth="1"/>
    <col min="218" max="16384" width="11.5" style="1"/>
  </cols>
  <sheetData>
    <row r="1" spans="1:9" ht="20" x14ac:dyDescent="0.2">
      <c r="A1" s="40" t="s">
        <v>13</v>
      </c>
      <c r="B1" s="41"/>
      <c r="C1" s="41"/>
      <c r="D1" s="41"/>
    </row>
    <row r="2" spans="1:9" ht="18" x14ac:dyDescent="0.2">
      <c r="A2" s="48" t="s">
        <v>0</v>
      </c>
      <c r="B2" s="48"/>
      <c r="C2" s="48"/>
      <c r="D2" s="48"/>
      <c r="H2" s="15"/>
      <c r="I2" s="1" t="s">
        <v>1</v>
      </c>
    </row>
    <row r="3" spans="1:9" x14ac:dyDescent="0.15">
      <c r="H3" s="16"/>
      <c r="I3" s="1" t="s">
        <v>2</v>
      </c>
    </row>
    <row r="4" spans="1:9" ht="12" customHeight="1" x14ac:dyDescent="0.15">
      <c r="A4" s="42" t="s">
        <v>3</v>
      </c>
      <c r="B4" s="42" t="s">
        <v>4</v>
      </c>
      <c r="C4" s="43"/>
      <c r="D4" s="4" t="s">
        <v>5</v>
      </c>
      <c r="H4" s="14"/>
      <c r="I4" s="1" t="s">
        <v>6</v>
      </c>
    </row>
    <row r="5" spans="1:9" ht="14" thickBot="1" x14ac:dyDescent="0.2">
      <c r="A5" s="44"/>
      <c r="B5" s="44"/>
      <c r="C5" s="45"/>
      <c r="D5" s="5" t="s">
        <v>7</v>
      </c>
      <c r="H5" s="13"/>
      <c r="I5" s="1" t="s">
        <v>8</v>
      </c>
    </row>
    <row r="6" spans="1:9" ht="12.75" customHeight="1" x14ac:dyDescent="0.15">
      <c r="A6" s="49">
        <v>45992</v>
      </c>
      <c r="B6" s="46" t="s">
        <v>25</v>
      </c>
      <c r="C6" s="47"/>
      <c r="D6" s="6">
        <v>2</v>
      </c>
    </row>
    <row r="7" spans="1:9" x14ac:dyDescent="0.15">
      <c r="A7" s="18"/>
      <c r="B7" s="21" t="s">
        <v>26</v>
      </c>
      <c r="C7" s="22"/>
      <c r="D7" s="7">
        <v>1.5</v>
      </c>
    </row>
    <row r="8" spans="1:9" x14ac:dyDescent="0.15">
      <c r="A8" s="18"/>
      <c r="B8" s="21"/>
      <c r="C8" s="22"/>
      <c r="D8" s="7"/>
    </row>
    <row r="9" spans="1:9" x14ac:dyDescent="0.15">
      <c r="A9" s="18"/>
      <c r="B9" s="2"/>
      <c r="C9" s="3" t="s">
        <v>9</v>
      </c>
      <c r="D9" s="8">
        <f>SUM(D6:D8)</f>
        <v>3.5</v>
      </c>
    </row>
    <row r="10" spans="1:9" ht="12.75" customHeight="1" x14ac:dyDescent="0.15">
      <c r="A10" s="17">
        <v>45992</v>
      </c>
      <c r="B10" s="19"/>
      <c r="C10" s="20"/>
      <c r="D10" s="6"/>
    </row>
    <row r="11" spans="1:9" x14ac:dyDescent="0.15">
      <c r="A11" s="18"/>
      <c r="B11" s="21" t="s">
        <v>30</v>
      </c>
      <c r="C11" s="22"/>
      <c r="D11" s="7">
        <v>1.5</v>
      </c>
    </row>
    <row r="12" spans="1:9" x14ac:dyDescent="0.15">
      <c r="A12" s="18"/>
      <c r="B12" s="21" t="s">
        <v>31</v>
      </c>
      <c r="C12" s="22"/>
      <c r="D12" s="7">
        <v>2</v>
      </c>
    </row>
    <row r="13" spans="1:9" x14ac:dyDescent="0.15">
      <c r="A13" s="18"/>
      <c r="B13" s="2"/>
      <c r="C13" s="3" t="s">
        <v>9</v>
      </c>
      <c r="D13" s="8">
        <f>SUM(D10:D12)</f>
        <v>3.5</v>
      </c>
    </row>
    <row r="14" spans="1:9" ht="12.75" customHeight="1" x14ac:dyDescent="0.15">
      <c r="A14" s="17">
        <v>45993</v>
      </c>
      <c r="B14" s="19" t="s">
        <v>28</v>
      </c>
      <c r="C14" s="20"/>
      <c r="D14" s="6">
        <v>2</v>
      </c>
    </row>
    <row r="15" spans="1:9" x14ac:dyDescent="0.15">
      <c r="A15" s="18"/>
      <c r="B15" s="13" t="s">
        <v>27</v>
      </c>
      <c r="C15" s="13"/>
      <c r="D15" s="7">
        <v>0.5</v>
      </c>
    </row>
    <row r="16" spans="1:9" x14ac:dyDescent="0.15">
      <c r="A16" s="18"/>
      <c r="B16" s="21" t="s">
        <v>29</v>
      </c>
      <c r="C16" s="22"/>
      <c r="D16" s="7">
        <v>1</v>
      </c>
    </row>
    <row r="17" spans="1:4" x14ac:dyDescent="0.15">
      <c r="A17" s="18"/>
      <c r="B17" s="2"/>
      <c r="C17" s="3" t="s">
        <v>9</v>
      </c>
      <c r="D17" s="8">
        <f>SUM(D14:D16)</f>
        <v>3.5</v>
      </c>
    </row>
    <row r="18" spans="1:4" x14ac:dyDescent="0.15">
      <c r="A18" s="23" t="s">
        <v>10</v>
      </c>
      <c r="B18" s="24"/>
      <c r="C18" s="10" t="s">
        <v>11</v>
      </c>
      <c r="D18" s="11">
        <f>SUM(D9,D13,D17)</f>
        <v>10.5</v>
      </c>
    </row>
    <row r="19" spans="1:4" ht="63" customHeight="1" x14ac:dyDescent="0.15">
      <c r="A19" s="30" t="s">
        <v>32</v>
      </c>
      <c r="B19" s="28"/>
      <c r="C19" s="28"/>
      <c r="D19" s="29"/>
    </row>
    <row r="20" spans="1:4" ht="12.75" customHeight="1" x14ac:dyDescent="0.15">
      <c r="A20" s="18">
        <v>45999</v>
      </c>
      <c r="B20" s="34" t="s">
        <v>14</v>
      </c>
      <c r="C20" s="35"/>
      <c r="D20" s="7"/>
    </row>
    <row r="21" spans="1:4" x14ac:dyDescent="0.15">
      <c r="A21" s="18"/>
      <c r="B21" s="36"/>
      <c r="C21" s="37"/>
      <c r="D21" s="7"/>
    </row>
    <row r="22" spans="1:4" x14ac:dyDescent="0.15">
      <c r="A22" s="18"/>
      <c r="B22" s="38"/>
      <c r="C22" s="39"/>
      <c r="D22" s="7"/>
    </row>
    <row r="23" spans="1:4" x14ac:dyDescent="0.15">
      <c r="A23" s="18"/>
      <c r="B23" s="2"/>
      <c r="C23" s="3" t="s">
        <v>9</v>
      </c>
      <c r="D23" s="8">
        <f>SUM(D20:D22)</f>
        <v>0</v>
      </c>
    </row>
    <row r="24" spans="1:4" ht="12.75" customHeight="1" x14ac:dyDescent="0.15">
      <c r="A24" s="17">
        <v>45999</v>
      </c>
      <c r="B24" s="34" t="s">
        <v>14</v>
      </c>
      <c r="C24" s="35"/>
      <c r="D24" s="6"/>
    </row>
    <row r="25" spans="1:4" x14ac:dyDescent="0.15">
      <c r="A25" s="18"/>
      <c r="B25" s="36"/>
      <c r="C25" s="37"/>
      <c r="D25" s="7"/>
    </row>
    <row r="26" spans="1:4" x14ac:dyDescent="0.15">
      <c r="A26" s="18"/>
      <c r="B26" s="38"/>
      <c r="C26" s="39"/>
      <c r="D26" s="7"/>
    </row>
    <row r="27" spans="1:4" x14ac:dyDescent="0.15">
      <c r="A27" s="18"/>
      <c r="B27" s="2"/>
      <c r="C27" s="3" t="s">
        <v>9</v>
      </c>
      <c r="D27" s="8">
        <f>SUM(D24:D26)</f>
        <v>0</v>
      </c>
    </row>
    <row r="28" spans="1:4" ht="12.75" customHeight="1" x14ac:dyDescent="0.15">
      <c r="A28" s="17">
        <v>46000</v>
      </c>
      <c r="B28" s="19" t="s">
        <v>15</v>
      </c>
      <c r="C28" s="20"/>
      <c r="D28" s="6">
        <v>2</v>
      </c>
    </row>
    <row r="29" spans="1:4" x14ac:dyDescent="0.15">
      <c r="A29" s="18"/>
      <c r="B29" s="32" t="s">
        <v>16</v>
      </c>
      <c r="C29" s="33"/>
      <c r="D29" s="7">
        <v>1</v>
      </c>
    </row>
    <row r="30" spans="1:4" x14ac:dyDescent="0.15">
      <c r="A30" s="18"/>
      <c r="B30" s="21" t="s">
        <v>17</v>
      </c>
      <c r="C30" s="22"/>
      <c r="D30" s="7">
        <v>0.5</v>
      </c>
    </row>
    <row r="31" spans="1:4" x14ac:dyDescent="0.15">
      <c r="A31" s="18"/>
      <c r="B31" s="2"/>
      <c r="C31" s="3" t="s">
        <v>9</v>
      </c>
      <c r="D31" s="8">
        <f>SUM(D28:D30)</f>
        <v>3.5</v>
      </c>
    </row>
    <row r="32" spans="1:4" x14ac:dyDescent="0.15">
      <c r="A32" s="23" t="s">
        <v>10</v>
      </c>
      <c r="B32" s="24"/>
      <c r="C32" s="10" t="s">
        <v>11</v>
      </c>
      <c r="D32" s="11">
        <f>SUM(D23,D27,D31)</f>
        <v>3.5</v>
      </c>
    </row>
    <row r="33" spans="1:4" ht="63" customHeight="1" x14ac:dyDescent="0.15">
      <c r="A33" s="30" t="s">
        <v>18</v>
      </c>
      <c r="B33" s="28"/>
      <c r="C33" s="28"/>
      <c r="D33" s="29"/>
    </row>
    <row r="34" spans="1:4" ht="12.75" customHeight="1" x14ac:dyDescent="0.15">
      <c r="A34" s="31">
        <v>46006</v>
      </c>
      <c r="B34" s="19" t="s">
        <v>19</v>
      </c>
      <c r="C34" s="20"/>
      <c r="D34" s="7">
        <v>1</v>
      </c>
    </row>
    <row r="35" spans="1:4" x14ac:dyDescent="0.15">
      <c r="A35" s="18"/>
      <c r="B35" s="21" t="s">
        <v>20</v>
      </c>
      <c r="C35" s="22"/>
      <c r="D35" s="7">
        <v>1.5</v>
      </c>
    </row>
    <row r="36" spans="1:4" x14ac:dyDescent="0.15">
      <c r="A36" s="18"/>
      <c r="B36" s="21" t="s">
        <v>21</v>
      </c>
      <c r="C36" s="22"/>
      <c r="D36" s="7">
        <v>1</v>
      </c>
    </row>
    <row r="37" spans="1:4" x14ac:dyDescent="0.15">
      <c r="A37" s="18"/>
      <c r="B37" s="2"/>
      <c r="C37" s="3" t="s">
        <v>9</v>
      </c>
      <c r="D37" s="8">
        <f>SUM(D34:D36)</f>
        <v>3.5</v>
      </c>
    </row>
    <row r="38" spans="1:4" ht="12.75" customHeight="1" x14ac:dyDescent="0.15">
      <c r="A38" s="17">
        <v>46006</v>
      </c>
      <c r="B38" s="19" t="s">
        <v>22</v>
      </c>
      <c r="C38" s="20"/>
      <c r="D38" s="6">
        <v>1.5</v>
      </c>
    </row>
    <row r="39" spans="1:4" x14ac:dyDescent="0.15">
      <c r="A39" s="18"/>
      <c r="B39" s="15" t="s">
        <v>23</v>
      </c>
      <c r="C39" s="15"/>
      <c r="D39" s="7">
        <v>0.5</v>
      </c>
    </row>
    <row r="40" spans="1:4" x14ac:dyDescent="0.15">
      <c r="A40" s="18"/>
      <c r="B40" s="16" t="s">
        <v>24</v>
      </c>
      <c r="C40" s="16"/>
      <c r="D40" s="7">
        <v>1.5</v>
      </c>
    </row>
    <row r="41" spans="1:4" x14ac:dyDescent="0.15">
      <c r="A41" s="18"/>
      <c r="B41" s="2"/>
      <c r="C41" s="3" t="s">
        <v>9</v>
      </c>
      <c r="D41" s="8">
        <f>SUM(D38:D40)</f>
        <v>3.5</v>
      </c>
    </row>
    <row r="42" spans="1:4" ht="12.75" customHeight="1" x14ac:dyDescent="0.15">
      <c r="A42" s="17">
        <v>46007</v>
      </c>
      <c r="B42" s="19" t="s">
        <v>33</v>
      </c>
      <c r="C42" s="20"/>
      <c r="D42" s="6">
        <v>2</v>
      </c>
    </row>
    <row r="43" spans="1:4" x14ac:dyDescent="0.15">
      <c r="A43" s="18"/>
      <c r="B43" s="21" t="s">
        <v>34</v>
      </c>
      <c r="C43" s="22"/>
      <c r="D43" s="7">
        <v>1</v>
      </c>
    </row>
    <row r="44" spans="1:4" x14ac:dyDescent="0.15">
      <c r="A44" s="18"/>
      <c r="B44" s="13" t="s">
        <v>35</v>
      </c>
      <c r="C44" s="13"/>
      <c r="D44" s="7">
        <v>0.5</v>
      </c>
    </row>
    <row r="45" spans="1:4" x14ac:dyDescent="0.15">
      <c r="A45" s="18"/>
      <c r="B45" s="2"/>
      <c r="C45" s="3" t="s">
        <v>9</v>
      </c>
      <c r="D45" s="8">
        <f>SUM(D42:D44)</f>
        <v>3.5</v>
      </c>
    </row>
    <row r="46" spans="1:4" x14ac:dyDescent="0.15">
      <c r="A46" s="23" t="s">
        <v>10</v>
      </c>
      <c r="B46" s="24"/>
      <c r="C46" s="10" t="s">
        <v>11</v>
      </c>
      <c r="D46" s="11">
        <f>SUM(D37,D41,D45)</f>
        <v>10.5</v>
      </c>
    </row>
    <row r="47" spans="1:4" ht="63" customHeight="1" x14ac:dyDescent="0.15">
      <c r="A47" s="30" t="s">
        <v>36</v>
      </c>
      <c r="B47" s="28"/>
      <c r="C47" s="28"/>
      <c r="D47" s="29"/>
    </row>
    <row r="48" spans="1:4" ht="12.75" customHeight="1" x14ac:dyDescent="0.15">
      <c r="A48" s="18">
        <v>45662</v>
      </c>
      <c r="B48" s="19"/>
      <c r="C48" s="20"/>
      <c r="D48" s="7"/>
    </row>
    <row r="49" spans="1:4" x14ac:dyDescent="0.15">
      <c r="A49" s="18"/>
      <c r="B49" s="21"/>
      <c r="C49" s="22"/>
      <c r="D49" s="7"/>
    </row>
    <row r="50" spans="1:4" x14ac:dyDescent="0.15">
      <c r="A50" s="18"/>
      <c r="B50" s="21"/>
      <c r="C50" s="22"/>
      <c r="D50" s="7"/>
    </row>
    <row r="51" spans="1:4" x14ac:dyDescent="0.15">
      <c r="A51" s="18"/>
      <c r="B51" s="2"/>
      <c r="C51" s="3" t="s">
        <v>9</v>
      </c>
      <c r="D51" s="8">
        <f>SUM(D48:D50)</f>
        <v>0</v>
      </c>
    </row>
    <row r="52" spans="1:4" x14ac:dyDescent="0.15">
      <c r="A52" s="17">
        <v>45662</v>
      </c>
      <c r="B52" s="19"/>
      <c r="C52" s="20"/>
      <c r="D52" s="6"/>
    </row>
    <row r="53" spans="1:4" x14ac:dyDescent="0.15">
      <c r="A53" s="18"/>
      <c r="B53" s="21"/>
      <c r="C53" s="22"/>
      <c r="D53" s="7"/>
    </row>
    <row r="54" spans="1:4" x14ac:dyDescent="0.15">
      <c r="A54" s="18"/>
      <c r="B54" s="21"/>
      <c r="C54" s="22"/>
      <c r="D54" s="7"/>
    </row>
    <row r="55" spans="1:4" x14ac:dyDescent="0.15">
      <c r="A55" s="18"/>
      <c r="B55" s="2"/>
      <c r="C55" s="3" t="s">
        <v>9</v>
      </c>
      <c r="D55" s="8">
        <f>SUM(D52:D54)</f>
        <v>0</v>
      </c>
    </row>
    <row r="56" spans="1:4" ht="12.75" customHeight="1" x14ac:dyDescent="0.15">
      <c r="A56" s="17">
        <v>45663</v>
      </c>
      <c r="B56" s="19"/>
      <c r="C56" s="20"/>
      <c r="D56" s="6"/>
    </row>
    <row r="57" spans="1:4" x14ac:dyDescent="0.15">
      <c r="A57" s="18"/>
      <c r="B57" s="21"/>
      <c r="C57" s="22"/>
      <c r="D57" s="7"/>
    </row>
    <row r="58" spans="1:4" x14ac:dyDescent="0.15">
      <c r="A58" s="18"/>
      <c r="B58" s="21"/>
      <c r="C58" s="22"/>
      <c r="D58" s="7"/>
    </row>
    <row r="59" spans="1:4" x14ac:dyDescent="0.15">
      <c r="A59" s="18"/>
      <c r="B59" s="2"/>
      <c r="C59" s="3" t="s">
        <v>9</v>
      </c>
      <c r="D59" s="8">
        <f>SUM(D56:D58)</f>
        <v>0</v>
      </c>
    </row>
    <row r="60" spans="1:4" x14ac:dyDescent="0.15">
      <c r="A60" s="23" t="s">
        <v>10</v>
      </c>
      <c r="B60" s="24"/>
      <c r="C60" s="10" t="s">
        <v>11</v>
      </c>
      <c r="D60" s="11">
        <f>SUM(D51,D55,D59)</f>
        <v>0</v>
      </c>
    </row>
    <row r="61" spans="1:4" ht="64.5" customHeight="1" x14ac:dyDescent="0.15">
      <c r="A61" s="25"/>
      <c r="B61" s="26"/>
      <c r="C61" s="26"/>
      <c r="D61" s="27"/>
    </row>
    <row r="62" spans="1:4" x14ac:dyDescent="0.15">
      <c r="A62" s="18">
        <v>45669</v>
      </c>
      <c r="B62" s="21"/>
      <c r="C62" s="22"/>
      <c r="D62" s="7"/>
    </row>
    <row r="63" spans="1:4" x14ac:dyDescent="0.15">
      <c r="A63" s="18"/>
      <c r="B63" s="21"/>
      <c r="C63" s="22"/>
      <c r="D63" s="7"/>
    </row>
    <row r="64" spans="1:4" x14ac:dyDescent="0.15">
      <c r="A64" s="18"/>
      <c r="B64" s="21"/>
      <c r="C64" s="22"/>
      <c r="D64" s="7"/>
    </row>
    <row r="65" spans="1:4" x14ac:dyDescent="0.15">
      <c r="A65" s="18"/>
      <c r="B65" s="2"/>
      <c r="C65" s="3" t="s">
        <v>9</v>
      </c>
      <c r="D65" s="8">
        <f>SUM(D62:D64)</f>
        <v>0</v>
      </c>
    </row>
    <row r="66" spans="1:4" x14ac:dyDescent="0.15">
      <c r="A66" s="17">
        <v>45669</v>
      </c>
      <c r="B66" s="19"/>
      <c r="C66" s="20"/>
      <c r="D66" s="6"/>
    </row>
    <row r="67" spans="1:4" x14ac:dyDescent="0.15">
      <c r="A67" s="18"/>
      <c r="B67" s="21"/>
      <c r="C67" s="22"/>
      <c r="D67" s="7"/>
    </row>
    <row r="68" spans="1:4" x14ac:dyDescent="0.15">
      <c r="A68" s="18"/>
      <c r="B68" s="21"/>
      <c r="C68" s="22"/>
      <c r="D68" s="7"/>
    </row>
    <row r="69" spans="1:4" x14ac:dyDescent="0.15">
      <c r="A69" s="18"/>
      <c r="B69" s="2"/>
      <c r="C69" s="3" t="s">
        <v>9</v>
      </c>
      <c r="D69" s="8">
        <f>SUM(D66:D68)</f>
        <v>0</v>
      </c>
    </row>
    <row r="70" spans="1:4" x14ac:dyDescent="0.15">
      <c r="A70" s="17">
        <v>45670</v>
      </c>
      <c r="B70" s="19"/>
      <c r="C70" s="20"/>
      <c r="D70" s="6"/>
    </row>
    <row r="71" spans="1:4" x14ac:dyDescent="0.15">
      <c r="A71" s="18"/>
      <c r="B71" s="21"/>
      <c r="C71" s="22"/>
      <c r="D71" s="7"/>
    </row>
    <row r="72" spans="1:4" x14ac:dyDescent="0.15">
      <c r="A72" s="18"/>
      <c r="B72" s="21"/>
      <c r="C72" s="22"/>
      <c r="D72" s="7"/>
    </row>
    <row r="73" spans="1:4" x14ac:dyDescent="0.15">
      <c r="A73" s="18"/>
      <c r="B73" s="2"/>
      <c r="C73" s="3" t="s">
        <v>9</v>
      </c>
      <c r="D73" s="8">
        <f>SUM(D70:D72)</f>
        <v>0</v>
      </c>
    </row>
    <row r="74" spans="1:4" x14ac:dyDescent="0.15">
      <c r="A74" s="23" t="s">
        <v>10</v>
      </c>
      <c r="B74" s="24"/>
      <c r="C74" s="10" t="s">
        <v>11</v>
      </c>
      <c r="D74" s="11">
        <f>SUM(D65,D69,D73)</f>
        <v>0</v>
      </c>
    </row>
    <row r="76" spans="1:4" x14ac:dyDescent="0.15">
      <c r="C76" s="12" t="s">
        <v>12</v>
      </c>
      <c r="D76" s="9">
        <f>D18+D32+D46+D60+D74</f>
        <v>24.5</v>
      </c>
    </row>
  </sheetData>
  <mergeCells count="65">
    <mergeCell ref="A10:A13"/>
    <mergeCell ref="B10:C10"/>
    <mergeCell ref="B11:C11"/>
    <mergeCell ref="B12:C12"/>
    <mergeCell ref="B7:C7"/>
    <mergeCell ref="B8:C8"/>
    <mergeCell ref="A6:A9"/>
    <mergeCell ref="A1:D1"/>
    <mergeCell ref="B4:C5"/>
    <mergeCell ref="B6:C6"/>
    <mergeCell ref="A4:A5"/>
    <mergeCell ref="A2:D2"/>
    <mergeCell ref="B42:C42"/>
    <mergeCell ref="B43:C43"/>
    <mergeCell ref="A42:A45"/>
    <mergeCell ref="B34:C34"/>
    <mergeCell ref="B35:C35"/>
    <mergeCell ref="B36:C36"/>
    <mergeCell ref="A18:B18"/>
    <mergeCell ref="A19:D19"/>
    <mergeCell ref="A20:A23"/>
    <mergeCell ref="A14:A17"/>
    <mergeCell ref="B14:C14"/>
    <mergeCell ref="B16:C16"/>
    <mergeCell ref="B20:C22"/>
    <mergeCell ref="A24:A27"/>
    <mergeCell ref="A28:A31"/>
    <mergeCell ref="B28:C28"/>
    <mergeCell ref="B29:C29"/>
    <mergeCell ref="B30:C30"/>
    <mergeCell ref="B24:C26"/>
    <mergeCell ref="A33:D33"/>
    <mergeCell ref="A32:B32"/>
    <mergeCell ref="A34:A37"/>
    <mergeCell ref="A38:A41"/>
    <mergeCell ref="B38:C38"/>
    <mergeCell ref="A46:B46"/>
    <mergeCell ref="A47:D47"/>
    <mergeCell ref="A48:A51"/>
    <mergeCell ref="B48:C48"/>
    <mergeCell ref="B49:C49"/>
    <mergeCell ref="B50:C50"/>
    <mergeCell ref="A60:B60"/>
    <mergeCell ref="A61:D61"/>
    <mergeCell ref="A52:A55"/>
    <mergeCell ref="B52:C52"/>
    <mergeCell ref="B53:C53"/>
    <mergeCell ref="B54:C54"/>
    <mergeCell ref="A56:A59"/>
    <mergeCell ref="B56:C56"/>
    <mergeCell ref="B57:C57"/>
    <mergeCell ref="B58:C58"/>
    <mergeCell ref="A62:A65"/>
    <mergeCell ref="B63:C63"/>
    <mergeCell ref="A66:A69"/>
    <mergeCell ref="B67:C67"/>
    <mergeCell ref="B68:C68"/>
    <mergeCell ref="B62:C62"/>
    <mergeCell ref="B64:C64"/>
    <mergeCell ref="B66:C66"/>
    <mergeCell ref="A70:A73"/>
    <mergeCell ref="B70:C70"/>
    <mergeCell ref="B71:C71"/>
    <mergeCell ref="B72:C72"/>
    <mergeCell ref="A74:B74"/>
  </mergeCells>
  <conditionalFormatting sqref="D6:D17">
    <cfRule type="containsText" dxfId="11" priority="31" operator="containsText" text="Terminé">
      <formula>NOT(ISERROR(SEARCH("Terminé",D6)))</formula>
    </cfRule>
    <cfRule type="containsText" dxfId="10" priority="32" operator="containsText" text="En cours">
      <formula>NOT(ISERROR(SEARCH("En cours",D6)))</formula>
    </cfRule>
  </conditionalFormatting>
  <conditionalFormatting sqref="D20:D31">
    <cfRule type="containsText" dxfId="9" priority="7" operator="containsText" text="Terminé">
      <formula>NOT(ISERROR(SEARCH("Terminé",D20)))</formula>
    </cfRule>
    <cfRule type="containsText" dxfId="8" priority="8" operator="containsText" text="En cours">
      <formula>NOT(ISERROR(SEARCH("En cours",D20)))</formula>
    </cfRule>
  </conditionalFormatting>
  <conditionalFormatting sqref="D34:D45">
    <cfRule type="containsText" dxfId="7" priority="5" operator="containsText" text="Terminé">
      <formula>NOT(ISERROR(SEARCH("Terminé",D34)))</formula>
    </cfRule>
    <cfRule type="containsText" dxfId="6" priority="6" operator="containsText" text="En cours">
      <formula>NOT(ISERROR(SEARCH("En cours",D34)))</formula>
    </cfRule>
  </conditionalFormatting>
  <conditionalFormatting sqref="D48:D59">
    <cfRule type="containsText" dxfId="5" priority="3" operator="containsText" text="Terminé">
      <formula>NOT(ISERROR(SEARCH("Terminé",D48)))</formula>
    </cfRule>
    <cfRule type="containsText" dxfId="4" priority="4" operator="containsText" text="En cours">
      <formula>NOT(ISERROR(SEARCH("En cours",D48)))</formula>
    </cfRule>
  </conditionalFormatting>
  <conditionalFormatting sqref="D62:D73">
    <cfRule type="containsText" dxfId="3" priority="1" operator="containsText" text="Terminé">
      <formula>NOT(ISERROR(SEARCH("Terminé",D62)))</formula>
    </cfRule>
    <cfRule type="containsText" dxfId="2" priority="2" operator="containsText" text="En cours">
      <formula>NOT(ISERROR(SEARCH("En cours",D62)))</formula>
    </cfRule>
  </conditionalFormatting>
  <conditionalFormatting sqref="D76">
    <cfRule type="containsText" dxfId="1" priority="9" operator="containsText" text="Terminé">
      <formula>NOT(ISERROR(SEARCH("Terminé",D76)))</formula>
    </cfRule>
    <cfRule type="containsText" dxfId="0" priority="10" operator="containsText" text="En cours">
      <formula>NOT(ISERROR(SEARCH("En cours",D76)))</formula>
    </cfRule>
  </conditionalFormatting>
  <printOptions horizontalCentered="1"/>
  <pageMargins left="0.28999999999999998" right="0.15748031496062992" top="0.82" bottom="0.43307086614173229" header="0.31496062992125984" footer="0.19685039370078741"/>
  <pageSetup paperSize="9" orientation="portrait" r:id="rId1"/>
  <headerFooter alignWithMargins="0">
    <oddHeader>&amp;L&amp;"Arial,Gras"&amp;14&amp;K00A4DBEMF-Informatique&amp;K000000
&amp;"Arial,Normal"&amp;12Phase de professionnalisation&amp;R&amp;"Arial,Gras"&amp;14EMF - Fribourg / Freiburg</oddHeader>
    <oddFooter>&amp;L&amp;8&amp;F&amp;R&amp;8Page &amp;P/&amp;N</oddFooter>
  </headerFooter>
  <rowBreaks count="1" manualBreakCount="1">
    <brk id="33" max="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0ED870E36F6F4C976CEAC6988F82A5" ma:contentTypeVersion="37" ma:contentTypeDescription="Crée un document." ma:contentTypeScope="" ma:versionID="3169f06de23f2334ced166a676265d3f">
  <xsd:schema xmlns:xsd="http://www.w3.org/2001/XMLSchema" xmlns:xs="http://www.w3.org/2001/XMLSchema" xmlns:p="http://schemas.microsoft.com/office/2006/metadata/properties" xmlns:ns2="32d4d717-cd3a-4b3d-8168-24cfd96cd6ea" xmlns:ns3="5cbbe46b-cb1d-4e56-8c99-5e3dbfb293e5" targetNamespace="http://schemas.microsoft.com/office/2006/metadata/properties" ma:root="true" ma:fieldsID="eab9665bb0af9cfdaba242b84d69e760" ns2:_="" ns3:_="">
    <xsd:import namespace="32d4d717-cd3a-4b3d-8168-24cfd96cd6ea"/>
    <xsd:import namespace="5cbbe46b-cb1d-4e56-8c99-5e3dbfb293e5"/>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element ref="ns2:Langue" minOccurs="0"/>
                <xsd:element ref="ns2:Grou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4d717-cd3a-4b3d-8168-24cfd96cd6ea"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Teachers" ma:index="1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Teachers" ma:index="22" nillable="true" ma:displayName="Invited Teachers" ma:internalName="Invited_Teachers">
      <xsd:simpleType>
        <xsd:restriction base="dms:Note">
          <xsd:maxLength value="255"/>
        </xsd:restriction>
      </xsd:simpleType>
    </xsd:element>
    <xsd:element name="Invited_Students" ma:index="23" nillable="true" ma:displayName="Invited Students" ma:internalName="Invited_Student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Teacher_Only_SectionGroup" ma:index="25" nillable="true" ma:displayName="Has Teacher Only SectionGroup" ma:internalName="Has_Teacher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Teams_Channel_Section_Location" ma:index="28" nillable="true" ma:displayName="Teams Channel Section Location" ma:internalName="Teams_Channel_Section_Location">
      <xsd:simpleType>
        <xsd:restriction base="dms:Text"/>
      </xsd:simpleType>
    </xsd:element>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38" nillable="true" ma:displayName="Extracted Text" ma:internalName="MediaServiceOCR" ma:readOnly="true">
      <xsd:simpleType>
        <xsd:restriction base="dms:Note">
          <xsd:maxLength value="255"/>
        </xsd:restriction>
      </xsd:simpleType>
    </xsd:element>
    <xsd:element name="MediaServiceDateTaken" ma:index="39" nillable="true" ma:displayName="MediaServiceDateTaken" ma:hidden="true" ma:indexed="true" ma:internalName="MediaServiceDateTaken" ma:readOnly="true">
      <xsd:simpleType>
        <xsd:restriction base="dms:Text"/>
      </xsd:simpleType>
    </xsd:element>
    <xsd:element name="MediaServiceSearchProperties" ma:index="42" nillable="true" ma:displayName="MediaServiceSearchProperties" ma:hidden="true" ma:internalName="MediaServiceSearchProperties" ma:readOnly="true">
      <xsd:simpleType>
        <xsd:restriction base="dms:Note"/>
      </xsd:simpleType>
    </xsd:element>
    <xsd:element name="Langue" ma:index="43" nillable="true" ma:displayName="Langue" ma:default="FD = français voie bili" ma:description="F = Français&#10;D = Deutsch&#10;DF = deutsch voie bili&#10;FD = français voie bili" ma:format="Dropdown" ma:internalName="Langue">
      <xsd:simpleType>
        <xsd:restriction base="dms:Text">
          <xsd:maxLength value="255"/>
        </xsd:restriction>
      </xsd:simpleType>
    </xsd:element>
    <xsd:element name="Groupe" ma:index="44" nillable="true" ma:displayName="Groupe" ma:description="Numéro du groupe de deux personnes" ma:format="Dropdown" ma:internalName="Groupe"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5cbbe46b-cb1d-4e56-8c99-5e3dbfb293e5" elementFormDefault="qualified">
    <xsd:import namespace="http://schemas.microsoft.com/office/2006/documentManagement/types"/>
    <xsd:import namespace="http://schemas.microsoft.com/office/infopath/2007/PartnerControls"/>
    <xsd:element name="TaxCatchAll" ma:index="37" nillable="true" ma:displayName="Taxonomy Catch All Column" ma:hidden="true" ma:list="{1733f708-4d36-4008-a0be-686484e76be2}" ma:internalName="TaxCatchAll" ma:showField="CatchAllData" ma:web="5cbbe46b-cb1d-4e56-8c99-5e3dbfb293e5">
      <xsd:complexType>
        <xsd:complexContent>
          <xsd:extension base="dms:MultiChoiceLookup">
            <xsd:sequence>
              <xsd:element name="Value" type="dms:Lookup" maxOccurs="unbounded" minOccurs="0" nillable="true"/>
            </xsd:sequence>
          </xsd:extension>
        </xsd:complexContent>
      </xsd:complexType>
    </xsd:element>
    <xsd:element name="SharedWithUsers" ma:index="4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ppVersion xmlns="32d4d717-cd3a-4b3d-8168-24cfd96cd6ea" xsi:nil="true"/>
    <Invited_Students xmlns="32d4d717-cd3a-4b3d-8168-24cfd96cd6ea" xsi:nil="true"/>
    <Owner xmlns="32d4d717-cd3a-4b3d-8168-24cfd96cd6ea">
      <UserInfo>
        <DisplayName/>
        <AccountId xsi:nil="true"/>
        <AccountType/>
      </UserInfo>
    </Owner>
    <Teams_Channel_Section_Location xmlns="32d4d717-cd3a-4b3d-8168-24cfd96cd6ea" xsi:nil="true"/>
    <DefaultSectionNames xmlns="32d4d717-cd3a-4b3d-8168-24cfd96cd6ea" xsi:nil="true"/>
    <TeamsChannelId xmlns="32d4d717-cd3a-4b3d-8168-24cfd96cd6ea" xsi:nil="true"/>
    <Invited_Teachers xmlns="32d4d717-cd3a-4b3d-8168-24cfd96cd6ea" xsi:nil="true"/>
    <FolderType xmlns="32d4d717-cd3a-4b3d-8168-24cfd96cd6ea" xsi:nil="true"/>
    <CultureName xmlns="32d4d717-cd3a-4b3d-8168-24cfd96cd6ea" xsi:nil="true"/>
    <Student_Groups xmlns="32d4d717-cd3a-4b3d-8168-24cfd96cd6ea">
      <UserInfo>
        <DisplayName/>
        <AccountId xsi:nil="true"/>
        <AccountType/>
      </UserInfo>
    </Student_Groups>
    <Self_Registration_Enabled xmlns="32d4d717-cd3a-4b3d-8168-24cfd96cd6ea" xsi:nil="true"/>
    <Is_Collaboration_Space_Locked xmlns="32d4d717-cd3a-4b3d-8168-24cfd96cd6ea" xsi:nil="true"/>
    <Teachers xmlns="32d4d717-cd3a-4b3d-8168-24cfd96cd6ea">
      <UserInfo>
        <DisplayName/>
        <AccountId xsi:nil="true"/>
        <AccountType/>
      </UserInfo>
    </Teachers>
    <Students xmlns="32d4d717-cd3a-4b3d-8168-24cfd96cd6ea">
      <UserInfo>
        <DisplayName/>
        <AccountId xsi:nil="true"/>
        <AccountType/>
      </UserInfo>
    </Students>
    <lcf76f155ced4ddcb4097134ff3c332f xmlns="32d4d717-cd3a-4b3d-8168-24cfd96cd6ea">
      <Terms xmlns="http://schemas.microsoft.com/office/infopath/2007/PartnerControls"/>
    </lcf76f155ced4ddcb4097134ff3c332f>
    <Templates xmlns="32d4d717-cd3a-4b3d-8168-24cfd96cd6ea" xsi:nil="true"/>
    <LMS_Mappings xmlns="32d4d717-cd3a-4b3d-8168-24cfd96cd6ea" xsi:nil="true"/>
    <IsNotebookLocked xmlns="32d4d717-cd3a-4b3d-8168-24cfd96cd6ea" xsi:nil="true"/>
    <NotebookType xmlns="32d4d717-cd3a-4b3d-8168-24cfd96cd6ea" xsi:nil="true"/>
    <Distribution_Groups xmlns="32d4d717-cd3a-4b3d-8168-24cfd96cd6ea" xsi:nil="true"/>
    <Math_Settings xmlns="32d4d717-cd3a-4b3d-8168-24cfd96cd6ea" xsi:nil="true"/>
    <Has_Teacher_Only_SectionGroup xmlns="32d4d717-cd3a-4b3d-8168-24cfd96cd6ea" xsi:nil="true"/>
    <TaxCatchAll xmlns="5cbbe46b-cb1d-4e56-8c99-5e3dbfb293e5" xsi:nil="true"/>
    <SharedWithUsers xmlns="5cbbe46b-cb1d-4e56-8c99-5e3dbfb293e5">
      <UserInfo>
        <DisplayName/>
        <AccountId xsi:nil="true"/>
        <AccountType/>
      </UserInfo>
    </SharedWithUsers>
    <MediaLengthInSeconds xmlns="32d4d717-cd3a-4b3d-8168-24cfd96cd6ea" xsi:nil="true"/>
    <Groupe xmlns="32d4d717-cd3a-4b3d-8168-24cfd96cd6ea" xsi:nil="true"/>
    <Langue xmlns="32d4d717-cd3a-4b3d-8168-24cfd96cd6ea">FD = français voie bili</Langue>
  </documentManagement>
</p:properties>
</file>

<file path=customXml/itemProps1.xml><?xml version="1.0" encoding="utf-8"?>
<ds:datastoreItem xmlns:ds="http://schemas.openxmlformats.org/officeDocument/2006/customXml" ds:itemID="{CA445AE9-3816-4E66-9DE6-AF42B06624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4d717-cd3a-4b3d-8168-24cfd96cd6ea"/>
    <ds:schemaRef ds:uri="5cbbe46b-cb1d-4e56-8c99-5e3dbfb293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A0F71E-9B9F-4628-8A94-D320BA80A1D3}">
  <ds:schemaRefs>
    <ds:schemaRef ds:uri="http://schemas.microsoft.com/sharepoint/v3/contenttype/forms"/>
  </ds:schemaRefs>
</ds:datastoreItem>
</file>

<file path=customXml/itemProps3.xml><?xml version="1.0" encoding="utf-8"?>
<ds:datastoreItem xmlns:ds="http://schemas.openxmlformats.org/officeDocument/2006/customXml" ds:itemID="{6A574440-4762-4322-B305-C51AEF435DC1}">
  <ds:schemaRefs>
    <ds:schemaRef ds:uri="http://schemas.microsoft.com/office/2006/documentManagement/types"/>
    <ds:schemaRef ds:uri="http://purl.org/dc/elements/1.1/"/>
    <ds:schemaRef ds:uri="http://www.w3.org/XML/1998/namespace"/>
    <ds:schemaRef ds:uri="http://schemas.microsoft.com/office/infopath/2007/PartnerControls"/>
    <ds:schemaRef ds:uri="32d4d717-cd3a-4b3d-8168-24cfd96cd6ea"/>
    <ds:schemaRef ds:uri="http://purl.org/dc/dcmitype/"/>
    <ds:schemaRef ds:uri="http://purl.org/dc/terms/"/>
    <ds:schemaRef ds:uri="http://schemas.openxmlformats.org/package/2006/metadata/core-properties"/>
    <ds:schemaRef ds:uri="5cbbe46b-cb1d-4e56-8c99-5e3dbfb293e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Journal</vt:lpstr>
      <vt:lpstr>Journal!Print_Area</vt:lpstr>
      <vt:lpstr>Journal!Print_Titles</vt:lpstr>
    </vt:vector>
  </TitlesOfParts>
  <Manager/>
  <Company>EMF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Guisolan Christian</dc:creator>
  <cp:keywords/>
  <dc:description/>
  <cp:lastModifiedBy>MyKoblet</cp:lastModifiedBy>
  <cp:revision/>
  <dcterms:created xsi:type="dcterms:W3CDTF">2002-03-11T12:50:08Z</dcterms:created>
  <dcterms:modified xsi:type="dcterms:W3CDTF">2026-01-05T10:08:00Z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0x010100280ED870E36F6F4C976CEAC6988F82A5</vt:lpwstr>
  </property>
  <property fmtid="{D5CDD505-2E9C-101B-9397-08002B2CF9AE}" pid="3" name="Order">
    <vt:r8>4324500</vt:r8>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