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checkCompatibility="1"/>
  <mc:AlternateContent xmlns:mc="http://schemas.openxmlformats.org/markup-compatibility/2006">
    <mc:Choice Requires="x15">
      <x15ac:absPath xmlns:x15ac="http://schemas.microsoft.com/office/spreadsheetml/2010/11/ac" url="/Users/valentingremaud/Documents/EMF/INFO/Modules/306/306-project-groupe-2-1/documentation/"/>
    </mc:Choice>
  </mc:AlternateContent>
  <xr:revisionPtr revIDLastSave="0" documentId="13_ncr:1_{2B72C4E4-0144-6C4C-B9DF-6B1705673053}" xr6:coauthVersionLast="47" xr6:coauthVersionMax="47" xr10:uidLastSave="{00000000-0000-0000-0000-000000000000}"/>
  <bookViews>
    <workbookView xWindow="0" yWindow="680" windowWidth="30240" windowHeight="17460" xr2:uid="{00000000-000D-0000-FFFF-FFFF00000000}"/>
  </bookViews>
  <sheets>
    <sheet name="Journal" sheetId="8" r:id="rId1"/>
  </sheets>
  <definedNames>
    <definedName name="_xlnm.Print_Area" localSheetId="0">Journal!$A$1:$D$61</definedName>
    <definedName name="_xlnm.Print_Titles" localSheetId="0">Journal!$B:$D,Journal!$1:$5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8" l="1"/>
  <c r="D59" i="8"/>
  <c r="D51" i="8"/>
  <c r="D73" i="8"/>
  <c r="D65" i="8"/>
  <c r="D69" i="8"/>
  <c r="D74" i="8"/>
  <c r="D17" i="8"/>
  <c r="D9" i="8"/>
  <c r="D13" i="8"/>
  <c r="D18" i="8"/>
  <c r="D23" i="8"/>
  <c r="D27" i="8"/>
  <c r="D31" i="8"/>
  <c r="D32" i="8"/>
  <c r="D37" i="8"/>
  <c r="D41" i="8"/>
  <c r="D45" i="8"/>
  <c r="D46" i="8"/>
  <c r="D60" i="8"/>
  <c r="D76" i="8"/>
</calcChain>
</file>

<file path=xl/sharedStrings.xml><?xml version="1.0" encoding="utf-8"?>
<sst xmlns="http://schemas.openxmlformats.org/spreadsheetml/2006/main" count="66" uniqueCount="42">
  <si>
    <t>Gremaud Valentin</t>
  </si>
  <si>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</si>
  <si>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</si>
  <si>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</si>
  <si>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</si>
  <si>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</si>
  <si>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</si>
  <si>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</si>
  <si>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</si>
  <si>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</si>
  <si>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</si>
  <si>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</si>
  <si>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</si>
  <si>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</si>
  <si>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</si>
  <si>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Documentation initiale : planification et architecture</t>
  </si>
  <si>
    <t>Configuration Raspberry Pi / serveur (aide à Diogo)</t>
  </si>
  <si>
    <t>Validation des différentes tâches terminé par mes collègues</t>
  </si>
  <si>
    <t>J'ai bien bossé aujourd'hui, je crois avoir bien rempli mon travail de product owner en ayant défini l'objectif de notre sprint et m'étant assuré que chacun ait du travail. J'ai peu codé ou travaillé concrètement sur le projet hors mis que j'ai aidé diogo dans la config.</t>
  </si>
  <si>
    <t>Documentation de la conception</t>
  </si>
  <si>
    <t>Configuration de la Raspberry</t>
  </si>
  <si>
    <t>Installation du serveur web sur la raspberry</t>
  </si>
  <si>
    <t>Déploiement sur la raspberry du PACMAN</t>
  </si>
  <si>
    <t>Test du jeu déployé (Bug de fluidité)</t>
  </si>
  <si>
    <t>Changement d'OS sur la raspberry pour optimiser la fluidité</t>
  </si>
  <si>
    <t>Lecture du cahier des charges</t>
  </si>
  <si>
    <t>Création d'un business case</t>
  </si>
  <si>
    <t>Rencontre avec le client (kick-off)</t>
  </si>
  <si>
    <t>Préparation de la rencontre avec client</t>
  </si>
  <si>
    <t>Documentation initiale</t>
  </si>
  <si>
    <t>Aide à Axelle pour le planning</t>
  </si>
  <si>
    <t>Users stories et product backlog</t>
  </si>
  <si>
    <t>C'était la semaine de lancement du projet donc je n'ai pas forcément fait énormément de travail mais j'ai surtout réfléchi comment mener à bien le projet de la meilleure manière.</t>
  </si>
  <si>
    <t>Test du jeu (validation des critères)</t>
  </si>
  <si>
    <t>Préparation du sprint suivant</t>
  </si>
  <si>
    <t>Séance scrum et planning</t>
  </si>
  <si>
    <t>Cette semaine, j'ai géré mon travail de product owner de la bonne manière je pense, mes collègues avaient toujours du boulot grâce à cela. J'ai bien suivi leur travail aussi afin de livrer la MVP. Je pense que je peux continuer comme ça.</t>
  </si>
  <si>
    <t>Documentation</t>
  </si>
  <si>
    <t>Mise en place de la raspberry sur grand écran</t>
  </si>
  <si>
    <t>Planification du sprint</t>
  </si>
  <si>
    <t>Test de l'arcade et contrôle des objectifs du business case</t>
  </si>
  <si>
    <t>Changer la résolution en 1920x1080 sur la rapsberry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</si>
</sst>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0">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9"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0" fontId="2" fillId="2" borderId="17" xfId="0" applyFont="1" applyFill="1" applyBorder="1" applyAlignment="1" applyProtection="1">
      <alignment horizontal="left" vertical="center"/>
      <protection locked="0"/>
    </xf>
    <xf numFmtId="0" fontId="2" fillId="2" borderId="19" xfId="0" applyFont="1" applyFill="1" applyBorder="1" applyAlignment="1" applyProtection="1">
      <alignment horizontal="left" vertical="center"/>
      <protection locked="0"/>
    </xf>
    <xf numFmtId="164" fontId="10" fillId="0" borderId="17" xfId="0" applyNumberFormat="1" applyFont="1" applyBorder="1" applyAlignment="1" applyProtection="1">
      <alignment horizontal="left" vertical="center"/>
      <protection locked="0"/>
    </xf>
    <xf numFmtId="164" fontId="0" fillId="0" borderId="19" xfId="0" applyNumberForma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2" fillId="6" borderId="10" xfId="0" applyFont="1" applyFill="1" applyBorder="1" applyAlignment="1" applyProtection="1">
      <alignment horizontal="left" vertical="center"/>
      <protection locked="0"/>
    </xf>
    <xf numFmtId="0" fontId="2" fillId="6" borderId="5" xfId="0" applyFont="1" applyFill="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164" fontId="0" fillId="0" borderId="11" xfId="0" applyNumberFormat="1" applyBorder="1" applyAlignment="1" applyProtection="1">
      <alignment horizontal="left" vertical="center"/>
      <protection locked="0"/>
    </xf>
    <xf numFmtId="164" fontId="0" fillId="0" borderId="16" xfId="0" applyNumberFormat="1" applyBorder="1" applyAlignment="1" applyProtection="1">
      <alignment horizontal="left" vertical="center"/>
      <protection locked="0"/>
    </xf>
    <xf numFmtId="164" fontId="0" fillId="0" borderId="14" xfId="0" applyNumberFormat="1" applyBorder="1" applyAlignment="1" applyProtection="1">
      <alignment horizontal="left" vertical="center"/>
      <protection locked="0"/>
    </xf>
  </cellXfs>
  <cellStyles count="1">
    <cellStyle name="Normal" xfId="0" builtinId="0"/>
  </cellStyles>
  <dxfs count="1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abSelected="1" zoomScale="150" zoomScaleNormal="115" zoomScaleSheetLayoutView="115" workbookViewId="0">
      <pane xSplit="4" ySplit="5" topLeftCell="E53" activePane="bottomRight" state="frozenSplit"/>
      <selection pane="topRight" activeCell="K1" sqref="K1"/>
      <selection pane="bottomLeft" activeCell="A13" sqref="A13"/>
      <selection pane="bottomRight" activeCell="F51" sqref="F51"/>
    </sheetView>
  </sheetViews>
  <sheetFormatPr baseColWidth="10" defaultColWidth="11.5" defaultRowHeight="13" x14ac:dyDescent="0.15"/>
  <cols>
    <col min="1" max="1" width="11.5" style="1"/>
    <col min="2" max="2" width="31.6640625" style="1" customWidth="1"/>
    <col min="3" max="3" width="36.6640625" style="1" customWidth="1"/>
    <col min="4" max="4" width="11.5" style="1" customWidth="1"/>
    <col min="5" max="7" width="9.1640625" style="1" customWidth="1"/>
    <col min="8" max="8" width="4.5" style="1" customWidth="1"/>
    <col min="9" max="9" width="10.83203125" style="1" customWidth="1"/>
    <col min="10" max="217" width="9.1640625" style="1" customWidth="1"/>
    <col min="218" max="16384" width="11.5" style="1"/>
  </cols>
  <sheetData>
    <row r="1" spans="1:9" ht="20" x14ac:dyDescent="0.2">
      <c r="A1" s="24" t="s">
        <v>13</v>
      </c>
      <c r="B1" s="25"/>
      <c r="C1" s="25"/>
      <c r="D1" s="25"/>
    </row>
    <row r="2" spans="1:9" ht="18" x14ac:dyDescent="0.2">
      <c r="A2" s="32" t="s">
        <v>0</v>
      </c>
      <c r="B2" s="32"/>
      <c r="C2" s="32"/>
      <c r="D2" s="32"/>
      <c r="H2" s="15"/>
      <c r="I2" s="1" t="s">
        <v>1</v>
      </c>
    </row>
    <row r="3" spans="1:9" x14ac:dyDescent="0.15">
      <c r="H3" s="16"/>
      <c r="I3" s="1" t="s">
        <v>2</v>
      </c>
    </row>
    <row r="4" spans="1:9" ht="12" customHeight="1" x14ac:dyDescent="0.15">
      <c r="A4" s="26" t="s">
        <v>3</v>
      </c>
      <c r="B4" s="26" t="s">
        <v>4</v>
      </c>
      <c r="C4" s="27"/>
      <c r="D4" s="4" t="s">
        <v>5</v>
      </c>
      <c r="H4" s="14"/>
      <c r="I4" s="1" t="s">
        <v>6</v>
      </c>
    </row>
    <row r="5" spans="1:9" ht="14" thickBot="1" x14ac:dyDescent="0.2">
      <c r="A5" s="28"/>
      <c r="B5" s="28"/>
      <c r="C5" s="29"/>
      <c r="D5" s="5" t="s">
        <v>7</v>
      </c>
      <c r="H5" s="13"/>
      <c r="I5" s="1" t="s">
        <v>8</v>
      </c>
    </row>
    <row r="6" spans="1:9" ht="12.75" customHeight="1" x14ac:dyDescent="0.15">
      <c r="A6" s="23">
        <v>45992</v>
      </c>
      <c r="B6" s="30" t="s">
        <v>25</v>
      </c>
      <c r="C6" s="31"/>
      <c r="D6" s="6">
        <v>2</v>
      </c>
    </row>
    <row r="7" spans="1:9" x14ac:dyDescent="0.15">
      <c r="A7" s="18"/>
      <c r="B7" s="21" t="s">
        <v>26</v>
      </c>
      <c r="C7" s="22"/>
      <c r="D7" s="7">
        <v>1.5</v>
      </c>
    </row>
    <row r="8" spans="1:9" x14ac:dyDescent="0.15">
      <c r="A8" s="18"/>
      <c r="B8" s="21"/>
      <c r="C8" s="22"/>
      <c r="D8" s="7"/>
    </row>
    <row r="9" spans="1:9" x14ac:dyDescent="0.15">
      <c r="A9" s="18"/>
      <c r="B9" s="2"/>
      <c r="C9" s="3" t="s">
        <v>9</v>
      </c>
      <c r="D9" s="8">
        <f>SUM(D6:D8)</f>
        <v>3.5</v>
      </c>
    </row>
    <row r="10" spans="1:9" ht="12.75" customHeight="1" x14ac:dyDescent="0.15">
      <c r="A10" s="17">
        <v>45992</v>
      </c>
      <c r="B10" s="19"/>
      <c r="C10" s="20"/>
      <c r="D10" s="6"/>
    </row>
    <row r="11" spans="1:9" x14ac:dyDescent="0.15">
      <c r="A11" s="18"/>
      <c r="B11" s="21" t="s">
        <v>30</v>
      </c>
      <c r="C11" s="22"/>
      <c r="D11" s="7">
        <v>1.5</v>
      </c>
    </row>
    <row r="12" spans="1:9" x14ac:dyDescent="0.15">
      <c r="A12" s="18"/>
      <c r="B12" s="21" t="s">
        <v>31</v>
      </c>
      <c r="C12" s="22"/>
      <c r="D12" s="7">
        <v>2</v>
      </c>
    </row>
    <row r="13" spans="1:9" x14ac:dyDescent="0.15">
      <c r="A13" s="18"/>
      <c r="B13" s="2"/>
      <c r="C13" s="3" t="s">
        <v>9</v>
      </c>
      <c r="D13" s="8">
        <f>SUM(D10:D12)</f>
        <v>3.5</v>
      </c>
    </row>
    <row r="14" spans="1:9" ht="12.75" customHeight="1" x14ac:dyDescent="0.15">
      <c r="A14" s="17">
        <v>45993</v>
      </c>
      <c r="B14" s="19" t="s">
        <v>28</v>
      </c>
      <c r="C14" s="20"/>
      <c r="D14" s="6">
        <v>2</v>
      </c>
    </row>
    <row r="15" spans="1:9" x14ac:dyDescent="0.15">
      <c r="A15" s="18"/>
      <c r="B15" s="13" t="s">
        <v>27</v>
      </c>
      <c r="C15" s="13"/>
      <c r="D15" s="7">
        <v>0.5</v>
      </c>
    </row>
    <row r="16" spans="1:9" x14ac:dyDescent="0.15">
      <c r="A16" s="18"/>
      <c r="B16" s="21" t="s">
        <v>29</v>
      </c>
      <c r="C16" s="22"/>
      <c r="D16" s="7">
        <v>1</v>
      </c>
    </row>
    <row r="17" spans="1:4" x14ac:dyDescent="0.15">
      <c r="A17" s="18"/>
      <c r="B17" s="2"/>
      <c r="C17" s="3" t="s">
        <v>9</v>
      </c>
      <c r="D17" s="8">
        <f>SUM(D14:D16)</f>
        <v>3.5</v>
      </c>
    </row>
    <row r="18" spans="1:4" x14ac:dyDescent="0.15">
      <c r="A18" s="33" t="s">
        <v>10</v>
      </c>
      <c r="B18" s="34"/>
      <c r="C18" s="10" t="s">
        <v>11</v>
      </c>
      <c r="D18" s="11">
        <f>SUM(D9,D13,D17)</f>
        <v>10.5</v>
      </c>
    </row>
    <row r="19" spans="1:4" ht="63" customHeight="1" x14ac:dyDescent="0.15">
      <c r="A19" s="35" t="s">
        <v>32</v>
      </c>
      <c r="B19" s="36"/>
      <c r="C19" s="36"/>
      <c r="D19" s="37"/>
    </row>
    <row r="20" spans="1:4" ht="12.75" customHeight="1" x14ac:dyDescent="0.15">
      <c r="A20" s="18">
        <v>45999</v>
      </c>
      <c r="B20" s="38" t="s">
        <v>14</v>
      </c>
      <c r="C20" s="39"/>
      <c r="D20" s="7"/>
    </row>
    <row r="21" spans="1:4" x14ac:dyDescent="0.15">
      <c r="A21" s="18"/>
      <c r="B21" s="40"/>
      <c r="C21" s="41"/>
      <c r="D21" s="7"/>
    </row>
    <row r="22" spans="1:4" x14ac:dyDescent="0.15">
      <c r="A22" s="18"/>
      <c r="B22" s="42"/>
      <c r="C22" s="43"/>
      <c r="D22" s="7"/>
    </row>
    <row r="23" spans="1:4" x14ac:dyDescent="0.15">
      <c r="A23" s="18"/>
      <c r="B23" s="2"/>
      <c r="C23" s="3" t="s">
        <v>9</v>
      </c>
      <c r="D23" s="8">
        <f>SUM(D20:D22)</f>
        <v>0</v>
      </c>
    </row>
    <row r="24" spans="1:4" ht="12.75" customHeight="1" x14ac:dyDescent="0.15">
      <c r="A24" s="17">
        <v>45999</v>
      </c>
      <c r="B24" s="38" t="s">
        <v>14</v>
      </c>
      <c r="C24" s="39"/>
      <c r="D24" s="6"/>
    </row>
    <row r="25" spans="1:4" x14ac:dyDescent="0.15">
      <c r="A25" s="18"/>
      <c r="B25" s="40"/>
      <c r="C25" s="41"/>
      <c r="D25" s="7"/>
    </row>
    <row r="26" spans="1:4" x14ac:dyDescent="0.15">
      <c r="A26" s="18"/>
      <c r="B26" s="42"/>
      <c r="C26" s="43"/>
      <c r="D26" s="7"/>
    </row>
    <row r="27" spans="1:4" x14ac:dyDescent="0.15">
      <c r="A27" s="18"/>
      <c r="B27" s="2"/>
      <c r="C27" s="3" t="s">
        <v>9</v>
      </c>
      <c r="D27" s="8">
        <f>SUM(D24:D26)</f>
        <v>0</v>
      </c>
    </row>
    <row r="28" spans="1:4" ht="12.75" customHeight="1" x14ac:dyDescent="0.15">
      <c r="A28" s="17">
        <v>46000</v>
      </c>
      <c r="B28" s="19" t="s">
        <v>15</v>
      </c>
      <c r="C28" s="20"/>
      <c r="D28" s="6">
        <v>2</v>
      </c>
    </row>
    <row r="29" spans="1:4" x14ac:dyDescent="0.15">
      <c r="A29" s="18"/>
      <c r="B29" s="44" t="s">
        <v>16</v>
      </c>
      <c r="C29" s="45"/>
      <c r="D29" s="7">
        <v>1</v>
      </c>
    </row>
    <row r="30" spans="1:4" x14ac:dyDescent="0.15">
      <c r="A30" s="18"/>
      <c r="B30" s="21" t="s">
        <v>17</v>
      </c>
      <c r="C30" s="22"/>
      <c r="D30" s="7">
        <v>0.5</v>
      </c>
    </row>
    <row r="31" spans="1:4" x14ac:dyDescent="0.15">
      <c r="A31" s="18"/>
      <c r="B31" s="2"/>
      <c r="C31" s="3" t="s">
        <v>9</v>
      </c>
      <c r="D31" s="8">
        <f>SUM(D28:D30)</f>
        <v>3.5</v>
      </c>
    </row>
    <row r="32" spans="1:4" x14ac:dyDescent="0.15">
      <c r="A32" s="33" t="s">
        <v>10</v>
      </c>
      <c r="B32" s="34"/>
      <c r="C32" s="10" t="s">
        <v>11</v>
      </c>
      <c r="D32" s="11">
        <f>SUM(D23,D27,D31)</f>
        <v>3.5</v>
      </c>
    </row>
    <row r="33" spans="1:4" ht="63" customHeight="1" x14ac:dyDescent="0.15">
      <c r="A33" s="35" t="s">
        <v>18</v>
      </c>
      <c r="B33" s="36"/>
      <c r="C33" s="36"/>
      <c r="D33" s="37"/>
    </row>
    <row r="34" spans="1:4" ht="12.75" customHeight="1" x14ac:dyDescent="0.15">
      <c r="A34" s="46">
        <v>46006</v>
      </c>
      <c r="B34" s="19" t="s">
        <v>19</v>
      </c>
      <c r="C34" s="20"/>
      <c r="D34" s="7">
        <v>1</v>
      </c>
    </row>
    <row r="35" spans="1:4" x14ac:dyDescent="0.15">
      <c r="A35" s="18"/>
      <c r="B35" s="21" t="s">
        <v>20</v>
      </c>
      <c r="C35" s="22"/>
      <c r="D35" s="7">
        <v>1.5</v>
      </c>
    </row>
    <row r="36" spans="1:4" x14ac:dyDescent="0.15">
      <c r="A36" s="18"/>
      <c r="B36" s="21" t="s">
        <v>21</v>
      </c>
      <c r="C36" s="22"/>
      <c r="D36" s="7">
        <v>1</v>
      </c>
    </row>
    <row r="37" spans="1:4" x14ac:dyDescent="0.15">
      <c r="A37" s="18"/>
      <c r="B37" s="2"/>
      <c r="C37" s="3" t="s">
        <v>9</v>
      </c>
      <c r="D37" s="8">
        <f>SUM(D34:D36)</f>
        <v>3.5</v>
      </c>
    </row>
    <row r="38" spans="1:4" ht="12.75" customHeight="1" x14ac:dyDescent="0.15">
      <c r="A38" s="17">
        <v>46006</v>
      </c>
      <c r="B38" s="19" t="s">
        <v>22</v>
      </c>
      <c r="C38" s="20"/>
      <c r="D38" s="6">
        <v>1.5</v>
      </c>
    </row>
    <row r="39" spans="1:4" x14ac:dyDescent="0.15">
      <c r="A39" s="18"/>
      <c r="B39" s="15" t="s">
        <v>23</v>
      </c>
      <c r="C39" s="15"/>
      <c r="D39" s="7">
        <v>0.5</v>
      </c>
    </row>
    <row r="40" spans="1:4" x14ac:dyDescent="0.15">
      <c r="A40" s="18"/>
      <c r="B40" s="16" t="s">
        <v>24</v>
      </c>
      <c r="C40" s="16"/>
      <c r="D40" s="7">
        <v>1.5</v>
      </c>
    </row>
    <row r="41" spans="1:4" x14ac:dyDescent="0.15">
      <c r="A41" s="18"/>
      <c r="B41" s="2"/>
      <c r="C41" s="3" t="s">
        <v>9</v>
      </c>
      <c r="D41" s="8">
        <f>SUM(D38:D40)</f>
        <v>3.5</v>
      </c>
    </row>
    <row r="42" spans="1:4" ht="12.75" customHeight="1" x14ac:dyDescent="0.15">
      <c r="A42" s="17">
        <v>46007</v>
      </c>
      <c r="B42" s="19" t="s">
        <v>33</v>
      </c>
      <c r="C42" s="20"/>
      <c r="D42" s="6">
        <v>2</v>
      </c>
    </row>
    <row r="43" spans="1:4" x14ac:dyDescent="0.15">
      <c r="A43" s="18"/>
      <c r="B43" s="21" t="s">
        <v>34</v>
      </c>
      <c r="C43" s="22"/>
      <c r="D43" s="7">
        <v>1</v>
      </c>
    </row>
    <row r="44" spans="1:4" x14ac:dyDescent="0.15">
      <c r="A44" s="18"/>
      <c r="B44" s="13" t="s">
        <v>35</v>
      </c>
      <c r="C44" s="13"/>
      <c r="D44" s="7">
        <v>0.5</v>
      </c>
    </row>
    <row r="45" spans="1:4" x14ac:dyDescent="0.15">
      <c r="A45" s="18"/>
      <c r="B45" s="2"/>
      <c r="C45" s="3" t="s">
        <v>9</v>
      </c>
      <c r="D45" s="8">
        <f>SUM(D42:D44)</f>
        <v>3.5</v>
      </c>
    </row>
    <row r="46" spans="1:4" x14ac:dyDescent="0.15">
      <c r="A46" s="33" t="s">
        <v>10</v>
      </c>
      <c r="B46" s="34"/>
      <c r="C46" s="10" t="s">
        <v>11</v>
      </c>
      <c r="D46" s="11">
        <f>SUM(D37,D41,D45)</f>
        <v>10.5</v>
      </c>
    </row>
    <row r="47" spans="1:4" ht="63" customHeight="1" x14ac:dyDescent="0.15">
      <c r="A47" s="35" t="s">
        <v>36</v>
      </c>
      <c r="B47" s="36"/>
      <c r="C47" s="36"/>
      <c r="D47" s="37"/>
    </row>
    <row r="48" spans="1:4" ht="12.75" customHeight="1" x14ac:dyDescent="0.15">
      <c r="A48" s="18">
        <v>45662</v>
      </c>
      <c r="B48" s="19" t="s">
        <v>39</v>
      </c>
      <c r="C48" s="20"/>
      <c r="D48" s="7">
        <v>1.5</v>
      </c>
    </row>
    <row r="49" spans="1:4" x14ac:dyDescent="0.15">
      <c r="A49" s="18"/>
      <c r="B49" s="21" t="s">
        <v>17</v>
      </c>
      <c r="C49" s="22"/>
      <c r="D49" s="7">
        <v>1</v>
      </c>
    </row>
    <row r="50" spans="1:4" x14ac:dyDescent="0.15">
      <c r="A50" s="18"/>
      <c r="B50" s="21" t="s">
        <v>37</v>
      </c>
      <c r="C50" s="22"/>
      <c r="D50" s="7">
        <v>1</v>
      </c>
    </row>
    <row r="51" spans="1:4" x14ac:dyDescent="0.15">
      <c r="A51" s="18"/>
      <c r="B51" s="2"/>
      <c r="C51" s="3" t="s">
        <v>9</v>
      </c>
      <c r="D51" s="8">
        <f>SUM(D48:D50)</f>
        <v>3.5</v>
      </c>
    </row>
    <row r="52" spans="1:4" x14ac:dyDescent="0.15">
      <c r="A52" s="17">
        <v>45662</v>
      </c>
      <c r="B52" s="15" t="s">
        <v>38</v>
      </c>
      <c r="C52" s="15"/>
      <c r="D52" s="6">
        <v>1</v>
      </c>
    </row>
    <row r="53" spans="1:4" x14ac:dyDescent="0.15">
      <c r="A53" s="18"/>
      <c r="B53" s="16" t="s">
        <v>41</v>
      </c>
      <c r="C53" s="16"/>
      <c r="D53" s="7">
        <v>1</v>
      </c>
    </row>
    <row r="54" spans="1:4" x14ac:dyDescent="0.15">
      <c r="A54" s="18"/>
      <c r="B54" s="21" t="s">
        <v>40</v>
      </c>
      <c r="C54" s="22"/>
      <c r="D54" s="7">
        <v>1.5</v>
      </c>
    </row>
    <row r="55" spans="1:4" x14ac:dyDescent="0.15">
      <c r="A55" s="18"/>
      <c r="B55" s="2"/>
      <c r="C55" s="3" t="s">
        <v>9</v>
      </c>
      <c r="D55" s="8">
        <f>SUM(D52:D54)</f>
        <v>3.5</v>
      </c>
    </row>
    <row r="56" spans="1:4" ht="12.75" customHeight="1" x14ac:dyDescent="0.15">
      <c r="A56" s="17">
        <v>45663</v>
      </c>
      <c r="B56" s="19"/>
      <c r="C56" s="20"/>
      <c r="D56" s="6"/>
    </row>
    <row r="57" spans="1:4" x14ac:dyDescent="0.15">
      <c r="A57" s="18"/>
      <c r="B57" s="21"/>
      <c r="C57" s="22"/>
      <c r="D57" s="7"/>
    </row>
    <row r="58" spans="1:4" x14ac:dyDescent="0.15">
      <c r="A58" s="18"/>
      <c r="B58" s="21"/>
      <c r="C58" s="22"/>
      <c r="D58" s="7"/>
    </row>
    <row r="59" spans="1:4" x14ac:dyDescent="0.15">
      <c r="A59" s="18"/>
      <c r="B59" s="2"/>
      <c r="C59" s="3" t="s">
        <v>9</v>
      </c>
      <c r="D59" s="8">
        <f>SUM(D56:D58)</f>
        <v>0</v>
      </c>
    </row>
    <row r="60" spans="1:4" x14ac:dyDescent="0.15">
      <c r="A60" s="33" t="s">
        <v>10</v>
      </c>
      <c r="B60" s="34"/>
      <c r="C60" s="10" t="s">
        <v>11</v>
      </c>
      <c r="D60" s="11">
        <f>SUM(D51,D55,D59)</f>
        <v>7</v>
      </c>
    </row>
    <row r="61" spans="1:4" ht="64.5" customHeight="1" x14ac:dyDescent="0.15">
      <c r="A61" s="47"/>
      <c r="B61" s="48"/>
      <c r="C61" s="48"/>
      <c r="D61" s="49"/>
    </row>
    <row r="62" spans="1:4" x14ac:dyDescent="0.15">
      <c r="A62" s="18">
        <v>45669</v>
      </c>
      <c r="B62" s="21"/>
      <c r="C62" s="22"/>
      <c r="D62" s="7"/>
    </row>
    <row r="63" spans="1:4" x14ac:dyDescent="0.15">
      <c r="A63" s="18"/>
      <c r="B63" s="21"/>
      <c r="C63" s="22"/>
      <c r="D63" s="7"/>
    </row>
    <row r="64" spans="1:4" x14ac:dyDescent="0.15">
      <c r="A64" s="18"/>
      <c r="B64" s="21"/>
      <c r="C64" s="22"/>
      <c r="D64" s="7"/>
    </row>
    <row r="65" spans="1:4" x14ac:dyDescent="0.15">
      <c r="A65" s="18"/>
      <c r="B65" s="2"/>
      <c r="C65" s="3" t="s">
        <v>9</v>
      </c>
      <c r="D65" s="8">
        <f>SUM(D62:D64)</f>
        <v>0</v>
      </c>
    </row>
    <row r="66" spans="1:4" x14ac:dyDescent="0.15">
      <c r="A66" s="17">
        <v>45669</v>
      </c>
      <c r="B66" s="19"/>
      <c r="C66" s="20"/>
      <c r="D66" s="6"/>
    </row>
    <row r="67" spans="1:4" x14ac:dyDescent="0.15">
      <c r="A67" s="18"/>
      <c r="B67" s="21"/>
      <c r="C67" s="22"/>
      <c r="D67" s="7"/>
    </row>
    <row r="68" spans="1:4" x14ac:dyDescent="0.15">
      <c r="A68" s="18"/>
      <c r="B68" s="21"/>
      <c r="C68" s="22"/>
      <c r="D68" s="7"/>
    </row>
    <row r="69" spans="1:4" x14ac:dyDescent="0.15">
      <c r="A69" s="18"/>
      <c r="B69" s="2"/>
      <c r="C69" s="3" t="s">
        <v>9</v>
      </c>
      <c r="D69" s="8">
        <f>SUM(D66:D68)</f>
        <v>0</v>
      </c>
    </row>
    <row r="70" spans="1:4" x14ac:dyDescent="0.15">
      <c r="A70" s="17">
        <v>45670</v>
      </c>
      <c r="B70" s="19"/>
      <c r="C70" s="20"/>
      <c r="D70" s="6"/>
    </row>
    <row r="71" spans="1:4" x14ac:dyDescent="0.15">
      <c r="A71" s="18"/>
      <c r="B71" s="21"/>
      <c r="C71" s="22"/>
      <c r="D71" s="7"/>
    </row>
    <row r="72" spans="1:4" x14ac:dyDescent="0.15">
      <c r="A72" s="18"/>
      <c r="B72" s="21"/>
      <c r="C72" s="22"/>
      <c r="D72" s="7"/>
    </row>
    <row r="73" spans="1:4" x14ac:dyDescent="0.15">
      <c r="A73" s="18"/>
      <c r="B73" s="2"/>
      <c r="C73" s="3" t="s">
        <v>9</v>
      </c>
      <c r="D73" s="8">
        <f>SUM(D70:D72)</f>
        <v>0</v>
      </c>
    </row>
    <row r="74" spans="1:4" x14ac:dyDescent="0.15">
      <c r="A74" s="33" t="s">
        <v>10</v>
      </c>
      <c r="B74" s="34"/>
      <c r="C74" s="10" t="s">
        <v>11</v>
      </c>
      <c r="D74" s="11">
        <f>SUM(D65,D69,D73)</f>
        <v>0</v>
      </c>
    </row>
    <row r="76" spans="1:4" x14ac:dyDescent="0.15">
      <c r="C76" s="12" t="s">
        <v>12</v>
      </c>
      <c r="D76" s="9">
        <f>D18+D32+D46+D60+D74</f>
        <v>31.5</v>
      </c>
    </row>
  </sheetData>
  <mergeCells count="63">
    <mergeCell ref="A70:A73"/>
    <mergeCell ref="B70:C70"/>
    <mergeCell ref="B71:C71"/>
    <mergeCell ref="B72:C72"/>
    <mergeCell ref="A74:B74"/>
    <mergeCell ref="A62:A65"/>
    <mergeCell ref="B63:C63"/>
    <mergeCell ref="A66:A69"/>
    <mergeCell ref="B67:C67"/>
    <mergeCell ref="B68:C68"/>
    <mergeCell ref="B62:C62"/>
    <mergeCell ref="B64:C64"/>
    <mergeCell ref="B66:C66"/>
    <mergeCell ref="A60:B60"/>
    <mergeCell ref="A61:D61"/>
    <mergeCell ref="A52:A55"/>
    <mergeCell ref="B54:C54"/>
    <mergeCell ref="A56:A59"/>
    <mergeCell ref="B56:C56"/>
    <mergeCell ref="B57:C57"/>
    <mergeCell ref="B58:C58"/>
    <mergeCell ref="A46:B46"/>
    <mergeCell ref="A47:D47"/>
    <mergeCell ref="A48:A51"/>
    <mergeCell ref="B48:C48"/>
    <mergeCell ref="B49:C49"/>
    <mergeCell ref="B50:C50"/>
    <mergeCell ref="A33:D33"/>
    <mergeCell ref="A32:B32"/>
    <mergeCell ref="A34:A37"/>
    <mergeCell ref="A38:A41"/>
    <mergeCell ref="B38:C38"/>
    <mergeCell ref="A24:A27"/>
    <mergeCell ref="A28:A31"/>
    <mergeCell ref="B28:C28"/>
    <mergeCell ref="B29:C29"/>
    <mergeCell ref="B30:C30"/>
    <mergeCell ref="B24:C26"/>
    <mergeCell ref="A18:B18"/>
    <mergeCell ref="A19:D19"/>
    <mergeCell ref="A20:A23"/>
    <mergeCell ref="A14:A17"/>
    <mergeCell ref="B14:C14"/>
    <mergeCell ref="B16:C16"/>
    <mergeCell ref="B20:C22"/>
    <mergeCell ref="B42:C42"/>
    <mergeCell ref="B43:C43"/>
    <mergeCell ref="A42:A45"/>
    <mergeCell ref="B34:C34"/>
    <mergeCell ref="B35:C35"/>
    <mergeCell ref="B36:C36"/>
    <mergeCell ref="A1:D1"/>
    <mergeCell ref="B4:C5"/>
    <mergeCell ref="B6:C6"/>
    <mergeCell ref="A4:A5"/>
    <mergeCell ref="A2:D2"/>
    <mergeCell ref="A10:A13"/>
    <mergeCell ref="B10:C10"/>
    <mergeCell ref="B11:C11"/>
    <mergeCell ref="B12:C12"/>
    <mergeCell ref="B7:C7"/>
    <mergeCell ref="B8:C8"/>
    <mergeCell ref="A6:A9"/>
  </mergeCells>
  <conditionalFormatting sqref="D6:D17">
    <cfRule type="containsText" dxfId="11" priority="31" operator="containsText" text="Terminé">
      <formula>NOT(ISERROR(SEARCH("Terminé",D6)))</formula>
    </cfRule>
    <cfRule type="containsText" dxfId="10" priority="32" operator="containsText" text="En cours">
      <formula>NOT(ISERROR(SEARCH("En cours",D6)))</formula>
    </cfRule>
  </conditionalFormatting>
  <conditionalFormatting sqref="D20:D31">
    <cfRule type="containsText" dxfId="9" priority="7" operator="containsText" text="Terminé">
      <formula>NOT(ISERROR(SEARCH("Terminé",D20)))</formula>
    </cfRule>
    <cfRule type="containsText" dxfId="8" priority="8" operator="containsText" text="En cours">
      <formula>NOT(ISERROR(SEARCH("En cours",D20)))</formula>
    </cfRule>
  </conditionalFormatting>
  <conditionalFormatting sqref="D34:D45">
    <cfRule type="containsText" dxfId="7" priority="5" operator="containsText" text="Terminé">
      <formula>NOT(ISERROR(SEARCH("Terminé",D34)))</formula>
    </cfRule>
    <cfRule type="containsText" dxfId="6" priority="6" operator="containsText" text="En cours">
      <formula>NOT(ISERROR(SEARCH("En cours",D34)))</formula>
    </cfRule>
  </conditionalFormatting>
  <conditionalFormatting sqref="D48:D59">
    <cfRule type="containsText" dxfId="5" priority="3" operator="containsText" text="Terminé">
      <formula>NOT(ISERROR(SEARCH("Terminé",D48)))</formula>
    </cfRule>
    <cfRule type="containsText" dxfId="4" priority="4" operator="containsText" text="En cours">
      <formula>NOT(ISERROR(SEARCH("En cours",D48)))</formula>
    </cfRule>
  </conditionalFormatting>
  <conditionalFormatting sqref="D62:D73">
    <cfRule type="containsText" dxfId="3" priority="1" operator="containsText" text="Terminé">
      <formula>NOT(ISERROR(SEARCH("Terminé",D62)))</formula>
    </cfRule>
    <cfRule type="containsText" dxfId="2" priority="2" operator="containsText" text="En cours">
      <formula>NOT(ISERROR(SEARCH("En cours",D62)))</formula>
    </cfRule>
  </conditionalFormatting>
  <conditionalFormatting sqref="D76">
    <cfRule type="containsText" dxfId="1" priority="9" operator="containsText" text="Terminé">
      <formula>NOT(ISERROR(SEARCH("Terminé",D76)))</formula>
    </cfRule>
    <cfRule type="containsText" dxfId="0" priority="10" operator="containsText" text="En cours">
      <formula>NOT(ISERROR(SEARCH("En cours",D76)))</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3"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customXml/itemProps2.xml><?xml version="1.0" encoding="utf-8"?>
<ds:datastoreItem xmlns:ds="http://schemas.openxmlformats.org/officeDocument/2006/customXml" ds:itemID="{34A0F71E-9B9F-4628-8A94-D320BA80A1D3}">
  <ds:schemaRefs>
    <ds:schemaRef ds:uri="http://schemas.microsoft.com/sharepoint/v3/contenttype/forms"/>
  </ds:schemaRefs>
</ds:datastoreItem>
</file>

<file path=customXml/itemProps3.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Valentin Gremaud</cp:lastModifiedBy>
  <cp:revision/>
  <dcterms:created xsi:type="dcterms:W3CDTF">2002-03-11T12:50:08Z</dcterms:created>
  <dcterms:modified xsi:type="dcterms:W3CDTF">2026-01-06T07:32:41Z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