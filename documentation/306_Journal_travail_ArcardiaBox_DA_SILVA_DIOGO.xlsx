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DaSilva\306-project-groupe-2-3\documentation\"/>
    </mc:Choice>
  </mc:AlternateContent>
  <xr:revisionPtr revIDLastSave="0" documentId="13_ncr:1_{9D32E5C2-89B9-4808-8EDC-5242C2ABBF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Journal!$A$1:$D$57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8" l="1"/>
  <c r="D13" i="8"/>
  <c r="D14" i="8"/>
  <c r="D51" i="8"/>
  <c r="D55" i="8"/>
  <c r="D47" i="8"/>
  <c r="D69" i="8"/>
  <c r="D61" i="8"/>
  <c r="D65" i="8"/>
  <c r="D70" i="8"/>
  <c r="D19" i="8"/>
  <c r="D23" i="8"/>
  <c r="D27" i="8"/>
  <c r="D28" i="8"/>
  <c r="D33" i="8"/>
  <c r="D37" i="8"/>
  <c r="D41" i="8"/>
  <c r="D42" i="8"/>
  <c r="D56" i="8"/>
  <c r="D72" i="8"/>
</calcChain>
</file>

<file path=xl/sharedStrings.xml><?xml version="1.0" encoding="utf-8"?>
<sst xmlns="http://schemas.openxmlformats.org/spreadsheetml/2006/main" count="63" uniqueCount="38">
  <si>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</si>
  <si>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</si>
  <si>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</si>
  <si>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</si>
  <si>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</si>
  <si>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</si>
  <si>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</si>
  <si>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</si>
  <si>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</si>
  <si>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</si>
  <si>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</si>
  <si>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</si>
  <si>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</si>
  <si>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</si>
  <si>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>Da Silva Diogo</t>
  </si>
  <si>
    <t>corriger le diagramme d'activité</t>
  </si>
  <si>
    <t>configurer Raspbery Pi (changer le format de clavier, le connecter a internet, afficher un navigateur)</t>
  </si>
  <si>
    <t>j'ai perdu un peu de temp à afficher le navigateur mais au final ça à marcher</t>
  </si>
  <si>
    <t xml:space="preserve">reconfigurer Raspberry Pi </t>
  </si>
  <si>
    <t>testes des perforamances des jeux</t>
  </si>
  <si>
    <t>changement de l'os et reconfiguration</t>
  </si>
  <si>
    <t>script du lancement automatiques des jeux</t>
  </si>
  <si>
    <t>testes des mannettes</t>
  </si>
  <si>
    <t>Diagramme d'activité</t>
  </si>
  <si>
    <t>j'ai perdu du temps à reconfigurer le raspberry pour au final remarqué que les jeux n'estais pas fluide j'ai donc du changer d'os</t>
  </si>
  <si>
    <t>documentation</t>
  </si>
  <si>
    <t>testes des potentiel bug des jeux</t>
  </si>
  <si>
    <t>pull des changements</t>
  </si>
  <si>
    <t>installation Raspberry Pi</t>
  </si>
  <si>
    <t>documentation d'installation</t>
  </si>
  <si>
    <t>documentation d'utilisation</t>
  </si>
  <si>
    <t>vérifier l'ergonomie</t>
  </si>
  <si>
    <t>Lecture du cahier des charges</t>
  </si>
  <si>
    <t>Discussion du projet</t>
  </si>
  <si>
    <t>création du script d'installation automatique</t>
  </si>
  <si>
    <t>doc</t>
  </si>
  <si>
    <t>Cette semaine j'ai principalement travaillé sur la compréhension du projet</t>
  </si>
  <si>
    <t>Je pense avoir réalisé un travail utile, qui permet à d’autres personnes d’installer facilement Arcadiabox là où elles le souhaitent.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</si>
</sst>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Protection="1">
      <protection locked="0"/>
    </xf>
    <xf numFmtId="0" fontId="2" fillId="2" borderId="7" xfId="0" applyFont="1" applyFill="1" applyBorder="1" applyAlignment="1" applyProtection="1">
      <alignment horizontal="left" vertical="center"/>
      <protection locked="0"/>
    </xf>
    <xf numFmtId="0" fontId="2" fillId="2" borderId="12" xfId="0" applyFont="1" applyFill="1" applyBorder="1" applyAlignment="1" applyProtection="1">
      <alignment horizontal="right" vertic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165" fontId="2" fillId="0" borderId="5" xfId="0" applyNumberFormat="1" applyFont="1" applyBorder="1" applyAlignment="1" applyProtection="1">
      <alignment horizontal="center" vertical="center"/>
      <protection locked="0"/>
    </xf>
    <xf numFmtId="165" fontId="2" fillId="0" borderId="3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2" fillId="0" borderId="16" xfId="0" applyFont="1" applyBorder="1" applyAlignment="1" applyProtection="1">
      <alignment horizontal="left" vertical="center"/>
      <protection locked="0"/>
    </xf>
    <xf numFmtId="0" fontId="2" fillId="0" borderId="17" xfId="0" applyFont="1" applyBorder="1" applyAlignment="1" applyProtection="1">
      <alignment horizontal="left" vertical="center"/>
      <protection locked="0"/>
    </xf>
    <xf numFmtId="0" fontId="2" fillId="0" borderId="8" xfId="0" applyFont="1" applyBorder="1" applyAlignment="1" applyProtection="1">
      <alignment horizontal="left" vertical="center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 applyProtection="1">
      <alignment horizontal="left" vertical="center"/>
      <protection locked="0"/>
    </xf>
    <xf numFmtId="0" fontId="1" fillId="0" borderId="6" xfId="0" applyFont="1" applyBorder="1" applyAlignment="1" applyProtection="1">
      <alignment horizontal="left" vertical="center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2" fillId="5" borderId="8" xfId="0" applyFont="1" applyFill="1" applyBorder="1" applyAlignment="1" applyProtection="1">
      <alignment horizontal="left" vertical="center"/>
      <protection locked="0"/>
    </xf>
    <xf numFmtId="0" fontId="2" fillId="5" borderId="4" xfId="0" applyFont="1" applyFill="1" applyBorder="1" applyAlignment="1" applyProtection="1">
      <alignment horizontal="left" vertical="center"/>
      <protection locked="0"/>
    </xf>
    <xf numFmtId="0" fontId="2" fillId="6" borderId="8" xfId="0" applyFont="1" applyFill="1" applyBorder="1" applyAlignment="1" applyProtection="1">
      <alignment horizontal="left" vertical="center"/>
      <protection locked="0"/>
    </xf>
    <xf numFmtId="0" fontId="2" fillId="6" borderId="4" xfId="0" applyFont="1" applyFill="1" applyBorder="1" applyAlignment="1" applyProtection="1">
      <alignment horizontal="left" vertical="center"/>
      <protection locked="0"/>
    </xf>
    <xf numFmtId="0" fontId="2" fillId="2" borderId="13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left" vertical="center"/>
      <protection locked="0"/>
    </xf>
    <xf numFmtId="164" fontId="0" fillId="0" borderId="13" xfId="0" applyNumberFormat="1" applyBorder="1" applyAlignment="1" applyProtection="1">
      <alignment horizontal="left" vertical="center"/>
      <protection locked="0"/>
    </xf>
    <xf numFmtId="164" fontId="0" fillId="0" borderId="15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0" fontId="2" fillId="4" borderId="7" xfId="0" applyFont="1" applyFill="1" applyBorder="1" applyAlignment="1" applyProtection="1">
      <alignment horizontal="center" vertical="center"/>
      <protection locked="0"/>
    </xf>
    <xf numFmtId="0" fontId="2" fillId="4" borderId="12" xfId="0" applyFont="1" applyFill="1" applyBorder="1" applyAlignment="1" applyProtection="1">
      <alignment horizontal="center" vertical="center"/>
      <protection locked="0"/>
    </xf>
    <xf numFmtId="0" fontId="2" fillId="4" borderId="8" xfId="0" applyFont="1" applyFill="1" applyBorder="1" applyAlignment="1" applyProtection="1">
      <alignment horizontal="center" vertical="center"/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164" fontId="10" fillId="0" borderId="3" xfId="0" applyNumberFormat="1" applyFont="1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left" vertical="center" wrapText="1"/>
      <protection locked="0"/>
    </xf>
    <xf numFmtId="164" fontId="0" fillId="0" borderId="15" xfId="0" applyNumberFormat="1" applyBorder="1" applyAlignment="1" applyProtection="1">
      <alignment horizontal="left" vertical="center" wrapText="1"/>
      <protection locked="0"/>
    </xf>
    <xf numFmtId="164" fontId="0" fillId="0" borderId="14" xfId="0" applyNumberForma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zoomScale="115" zoomScaleNormal="115" zoomScaleSheetLayoutView="115" workbookViewId="0">
      <pane xSplit="4" ySplit="5" topLeftCell="E43" activePane="bottomRight" state="frozenSplit"/>
      <selection pane="topRight" activeCell="K1" sqref="K1"/>
      <selection pane="bottomLeft" activeCell="A13" sqref="A13"/>
      <selection pane="bottomRight" activeCell="I50" sqref="I50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25" t="s">
        <v>12</v>
      </c>
      <c r="B1" s="26"/>
      <c r="C1" s="26"/>
      <c r="D1" s="26"/>
    </row>
    <row r="2" spans="1:9" ht="18" x14ac:dyDescent="0.25">
      <c r="A2" s="31" t="s">
        <v>14</v>
      </c>
      <c r="B2" s="31"/>
      <c r="C2" s="31"/>
      <c r="D2" s="31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27" t="s">
        <v>2</v>
      </c>
      <c r="B4" s="27" t="s">
        <v>3</v>
      </c>
      <c r="C4" s="28"/>
      <c r="D4" s="4" t="s">
        <v>4</v>
      </c>
      <c r="H4" s="14"/>
      <c r="I4" s="1" t="s">
        <v>5</v>
      </c>
    </row>
    <row r="5" spans="1:9" ht="13.5" thickBot="1" x14ac:dyDescent="0.25">
      <c r="A5" s="29"/>
      <c r="B5" s="29"/>
      <c r="C5" s="30"/>
      <c r="D5" s="5" t="s">
        <v>6</v>
      </c>
      <c r="H5" s="13"/>
      <c r="I5" s="1" t="s">
        <v>7</v>
      </c>
    </row>
    <row r="6" spans="1:9" ht="12.75" customHeight="1" thickBot="1" x14ac:dyDescent="0.25">
      <c r="A6" s="17">
        <v>45992</v>
      </c>
      <c r="B6" s="19" t="s">
        <v>23</v>
      </c>
      <c r="C6" s="20"/>
      <c r="D6" s="6">
        <v>2</v>
      </c>
    </row>
    <row r="7" spans="1:9" x14ac:dyDescent="0.2">
      <c r="A7" s="18"/>
      <c r="B7" s="21" t="s">
        <v>32</v>
      </c>
      <c r="C7" s="22"/>
      <c r="D7" s="7">
        <v>2</v>
      </c>
    </row>
    <row r="8" spans="1:9" x14ac:dyDescent="0.2">
      <c r="A8" s="18"/>
      <c r="B8" s="23" t="s">
        <v>33</v>
      </c>
      <c r="C8" s="24"/>
      <c r="D8" s="7">
        <v>2</v>
      </c>
    </row>
    <row r="9" spans="1:9" x14ac:dyDescent="0.2">
      <c r="A9" s="18"/>
      <c r="B9" s="2"/>
      <c r="C9" s="3" t="s">
        <v>8</v>
      </c>
      <c r="D9" s="8">
        <f>SUM(D6:D8)</f>
        <v>6</v>
      </c>
    </row>
    <row r="10" spans="1:9" ht="12.75" customHeight="1" x14ac:dyDescent="0.2">
      <c r="A10" s="17">
        <v>45993</v>
      </c>
      <c r="B10" s="19" t="s">
        <v>23</v>
      </c>
      <c r="C10" s="20"/>
      <c r="D10" s="6">
        <v>2</v>
      </c>
    </row>
    <row r="11" spans="1:9" x14ac:dyDescent="0.2">
      <c r="A11" s="18"/>
      <c r="B11" s="23" t="s">
        <v>35</v>
      </c>
      <c r="C11" s="24"/>
      <c r="D11" s="7">
        <v>2</v>
      </c>
    </row>
    <row r="12" spans="1:9" x14ac:dyDescent="0.2">
      <c r="A12" s="18"/>
      <c r="B12" s="23"/>
      <c r="C12" s="24"/>
      <c r="D12" s="7"/>
    </row>
    <row r="13" spans="1:9" x14ac:dyDescent="0.2">
      <c r="A13" s="18"/>
      <c r="B13" s="2"/>
      <c r="C13" s="3" t="s">
        <v>8</v>
      </c>
      <c r="D13" s="8">
        <f>SUM(D10:D12)</f>
        <v>4</v>
      </c>
    </row>
    <row r="14" spans="1:9" x14ac:dyDescent="0.2">
      <c r="A14" s="36" t="s">
        <v>9</v>
      </c>
      <c r="B14" s="37"/>
      <c r="C14" s="10" t="s">
        <v>10</v>
      </c>
      <c r="D14" s="11">
        <f>SUM(D9,D13)</f>
        <v>10</v>
      </c>
    </row>
    <row r="15" spans="1:9" ht="63" customHeight="1" x14ac:dyDescent="0.2">
      <c r="A15" s="38" t="s">
        <v>36</v>
      </c>
      <c r="B15" s="39"/>
      <c r="C15" s="39"/>
      <c r="D15" s="40"/>
    </row>
    <row r="16" spans="1:9" ht="12.75" customHeight="1" x14ac:dyDescent="0.2">
      <c r="A16" s="18">
        <v>45999</v>
      </c>
      <c r="B16" s="41" t="s">
        <v>13</v>
      </c>
      <c r="C16" s="42"/>
      <c r="D16" s="7"/>
    </row>
    <row r="17" spans="1:4" x14ac:dyDescent="0.2">
      <c r="A17" s="18"/>
      <c r="B17" s="43"/>
      <c r="C17" s="44"/>
      <c r="D17" s="7"/>
    </row>
    <row r="18" spans="1:4" x14ac:dyDescent="0.2">
      <c r="A18" s="18"/>
      <c r="B18" s="45"/>
      <c r="C18" s="46"/>
      <c r="D18" s="7"/>
    </row>
    <row r="19" spans="1:4" x14ac:dyDescent="0.2">
      <c r="A19" s="18"/>
      <c r="B19" s="2"/>
      <c r="C19" s="3" t="s">
        <v>8</v>
      </c>
      <c r="D19" s="8">
        <f>SUM(D16:D18)</f>
        <v>0</v>
      </c>
    </row>
    <row r="20" spans="1:4" ht="12.75" customHeight="1" x14ac:dyDescent="0.2">
      <c r="A20" s="17">
        <v>45999</v>
      </c>
      <c r="B20" s="41" t="s">
        <v>13</v>
      </c>
      <c r="C20" s="42"/>
      <c r="D20" s="6"/>
    </row>
    <row r="21" spans="1:4" x14ac:dyDescent="0.2">
      <c r="A21" s="18"/>
      <c r="B21" s="43"/>
      <c r="C21" s="44"/>
      <c r="D21" s="7"/>
    </row>
    <row r="22" spans="1:4" x14ac:dyDescent="0.2">
      <c r="A22" s="18"/>
      <c r="B22" s="45"/>
      <c r="C22" s="46"/>
      <c r="D22" s="7"/>
    </row>
    <row r="23" spans="1:4" x14ac:dyDescent="0.2">
      <c r="A23" s="18"/>
      <c r="B23" s="2"/>
      <c r="C23" s="3" t="s">
        <v>8</v>
      </c>
      <c r="D23" s="8">
        <f>SUM(D20:D22)</f>
        <v>0</v>
      </c>
    </row>
    <row r="24" spans="1:4" ht="12.75" customHeight="1" x14ac:dyDescent="0.2">
      <c r="A24" s="17">
        <v>46000</v>
      </c>
      <c r="B24" s="19" t="s">
        <v>15</v>
      </c>
      <c r="C24" s="20"/>
      <c r="D24" s="6">
        <v>1</v>
      </c>
    </row>
    <row r="25" spans="1:4" x14ac:dyDescent="0.2">
      <c r="A25" s="18"/>
      <c r="B25" s="23" t="s">
        <v>16</v>
      </c>
      <c r="C25" s="24"/>
      <c r="D25" s="7">
        <v>3</v>
      </c>
    </row>
    <row r="26" spans="1:4" x14ac:dyDescent="0.2">
      <c r="A26" s="18"/>
      <c r="B26" s="23"/>
      <c r="C26" s="24"/>
      <c r="D26" s="7"/>
    </row>
    <row r="27" spans="1:4" x14ac:dyDescent="0.2">
      <c r="A27" s="18"/>
      <c r="B27" s="2"/>
      <c r="C27" s="3" t="s">
        <v>8</v>
      </c>
      <c r="D27" s="8">
        <f>SUM(D24:D26)</f>
        <v>4</v>
      </c>
    </row>
    <row r="28" spans="1:4" x14ac:dyDescent="0.2">
      <c r="A28" s="36" t="s">
        <v>9</v>
      </c>
      <c r="B28" s="37"/>
      <c r="C28" s="10" t="s">
        <v>10</v>
      </c>
      <c r="D28" s="11">
        <f>SUM(D19,D23,D27)</f>
        <v>4</v>
      </c>
    </row>
    <row r="29" spans="1:4" ht="63" customHeight="1" x14ac:dyDescent="0.2">
      <c r="A29" s="38" t="s">
        <v>17</v>
      </c>
      <c r="B29" s="39"/>
      <c r="C29" s="39"/>
      <c r="D29" s="40"/>
    </row>
    <row r="30" spans="1:4" ht="12.75" customHeight="1" x14ac:dyDescent="0.2">
      <c r="A30" s="47">
        <v>46006</v>
      </c>
      <c r="B30" s="19" t="s">
        <v>18</v>
      </c>
      <c r="C30" s="20"/>
      <c r="D30" s="7">
        <v>2</v>
      </c>
    </row>
    <row r="31" spans="1:4" x14ac:dyDescent="0.2">
      <c r="A31" s="18"/>
      <c r="B31" s="32" t="s">
        <v>19</v>
      </c>
      <c r="C31" s="33"/>
      <c r="D31" s="7">
        <v>1</v>
      </c>
    </row>
    <row r="32" spans="1:4" x14ac:dyDescent="0.2">
      <c r="A32" s="18"/>
      <c r="B32" s="34" t="s">
        <v>20</v>
      </c>
      <c r="C32" s="35"/>
      <c r="D32" s="7">
        <v>1</v>
      </c>
    </row>
    <row r="33" spans="1:4" x14ac:dyDescent="0.2">
      <c r="A33" s="18"/>
      <c r="B33" s="2"/>
      <c r="C33" s="3" t="s">
        <v>8</v>
      </c>
      <c r="D33" s="8">
        <f>SUM(D30:D32)</f>
        <v>4</v>
      </c>
    </row>
    <row r="34" spans="1:4" ht="12.75" customHeight="1" x14ac:dyDescent="0.2">
      <c r="A34" s="17">
        <v>46006</v>
      </c>
      <c r="B34" s="19" t="s">
        <v>19</v>
      </c>
      <c r="C34" s="20"/>
      <c r="D34" s="6">
        <v>1</v>
      </c>
    </row>
    <row r="35" spans="1:4" x14ac:dyDescent="0.2">
      <c r="A35" s="18"/>
      <c r="B35" s="23" t="s">
        <v>21</v>
      </c>
      <c r="C35" s="24"/>
      <c r="D35" s="7">
        <v>2</v>
      </c>
    </row>
    <row r="36" spans="1:4" x14ac:dyDescent="0.2">
      <c r="A36" s="18"/>
      <c r="B36" s="23" t="s">
        <v>22</v>
      </c>
      <c r="C36" s="24"/>
      <c r="D36" s="7">
        <v>1</v>
      </c>
    </row>
    <row r="37" spans="1:4" x14ac:dyDescent="0.2">
      <c r="A37" s="18"/>
      <c r="B37" s="2"/>
      <c r="C37" s="3" t="s">
        <v>8</v>
      </c>
      <c r="D37" s="8">
        <f>SUM(D34:D36)</f>
        <v>4</v>
      </c>
    </row>
    <row r="38" spans="1:4" ht="12.75" customHeight="1" x14ac:dyDescent="0.2">
      <c r="A38" s="17">
        <v>46007</v>
      </c>
      <c r="B38" s="19" t="s">
        <v>27</v>
      </c>
      <c r="C38" s="20"/>
      <c r="D38" s="6">
        <v>1</v>
      </c>
    </row>
    <row r="39" spans="1:4" x14ac:dyDescent="0.2">
      <c r="A39" s="18"/>
      <c r="B39" s="23" t="s">
        <v>25</v>
      </c>
      <c r="C39" s="24"/>
      <c r="D39" s="7">
        <v>2</v>
      </c>
    </row>
    <row r="40" spans="1:4" x14ac:dyDescent="0.2">
      <c r="A40" s="18"/>
      <c r="B40" s="23" t="s">
        <v>26</v>
      </c>
      <c r="C40" s="24"/>
      <c r="D40" s="7">
        <v>1</v>
      </c>
    </row>
    <row r="41" spans="1:4" x14ac:dyDescent="0.2">
      <c r="A41" s="18"/>
      <c r="B41" s="2"/>
      <c r="C41" s="3" t="s">
        <v>8</v>
      </c>
      <c r="D41" s="8">
        <f>SUM(D38:D40)</f>
        <v>4</v>
      </c>
    </row>
    <row r="42" spans="1:4" x14ac:dyDescent="0.2">
      <c r="A42" s="36" t="s">
        <v>9</v>
      </c>
      <c r="B42" s="37"/>
      <c r="C42" s="10" t="s">
        <v>10</v>
      </c>
      <c r="D42" s="11">
        <f>SUM(D33,D37,D41)</f>
        <v>12</v>
      </c>
    </row>
    <row r="43" spans="1:4" ht="63" customHeight="1" x14ac:dyDescent="0.2">
      <c r="A43" s="38" t="s">
        <v>24</v>
      </c>
      <c r="B43" s="39"/>
      <c r="C43" s="39"/>
      <c r="D43" s="40"/>
    </row>
    <row r="44" spans="1:4" ht="12.75" customHeight="1" x14ac:dyDescent="0.2">
      <c r="A44" s="18">
        <v>46027</v>
      </c>
      <c r="B44" s="19" t="s">
        <v>28</v>
      </c>
      <c r="C44" s="20"/>
      <c r="D44" s="7">
        <v>2</v>
      </c>
    </row>
    <row r="45" spans="1:4" x14ac:dyDescent="0.2">
      <c r="A45" s="18"/>
      <c r="B45" s="23" t="s">
        <v>29</v>
      </c>
      <c r="C45" s="24"/>
      <c r="D45" s="7">
        <v>2</v>
      </c>
    </row>
    <row r="46" spans="1:4" x14ac:dyDescent="0.2">
      <c r="A46" s="18"/>
      <c r="B46" s="23"/>
      <c r="C46" s="24"/>
      <c r="D46" s="7"/>
    </row>
    <row r="47" spans="1:4" x14ac:dyDescent="0.2">
      <c r="A47" s="18"/>
      <c r="B47" s="2"/>
      <c r="C47" s="3" t="s">
        <v>8</v>
      </c>
      <c r="D47" s="8">
        <f>SUM(D44:D46)</f>
        <v>4</v>
      </c>
    </row>
    <row r="48" spans="1:4" x14ac:dyDescent="0.2">
      <c r="A48" s="17">
        <v>46027</v>
      </c>
      <c r="B48" s="19" t="s">
        <v>30</v>
      </c>
      <c r="C48" s="20"/>
      <c r="D48" s="6">
        <v>2</v>
      </c>
    </row>
    <row r="49" spans="1:4" x14ac:dyDescent="0.2">
      <c r="A49" s="18"/>
      <c r="B49" s="23" t="s">
        <v>31</v>
      </c>
      <c r="C49" s="24"/>
      <c r="D49" s="7">
        <v>2</v>
      </c>
    </row>
    <row r="50" spans="1:4" x14ac:dyDescent="0.2">
      <c r="A50" s="18"/>
      <c r="B50" s="23"/>
      <c r="C50" s="24"/>
      <c r="D50" s="7"/>
    </row>
    <row r="51" spans="1:4" x14ac:dyDescent="0.2">
      <c r="A51" s="18"/>
      <c r="B51" s="2"/>
      <c r="C51" s="3" t="s">
        <v>8</v>
      </c>
      <c r="D51" s="8">
        <f>SUM(D48:D50)</f>
        <v>4</v>
      </c>
    </row>
    <row r="52" spans="1:4" ht="12.75" customHeight="1" x14ac:dyDescent="0.2">
      <c r="A52" s="17">
        <v>46028</v>
      </c>
      <c r="B52" s="19" t="s">
        <v>29</v>
      </c>
      <c r="C52" s="20"/>
      <c r="D52" s="6">
        <v>2</v>
      </c>
    </row>
    <row r="53" spans="1:4" x14ac:dyDescent="0.2">
      <c r="A53" s="18"/>
      <c r="B53" s="23" t="s">
        <v>34</v>
      </c>
      <c r="C53" s="24"/>
      <c r="D53" s="7">
        <v>2</v>
      </c>
    </row>
    <row r="54" spans="1:4" x14ac:dyDescent="0.2">
      <c r="A54" s="18"/>
      <c r="B54" s="23"/>
      <c r="C54" s="24"/>
      <c r="D54" s="7"/>
    </row>
    <row r="55" spans="1:4" x14ac:dyDescent="0.2">
      <c r="A55" s="18"/>
      <c r="B55" s="2"/>
      <c r="C55" s="3" t="s">
        <v>8</v>
      </c>
      <c r="D55" s="8">
        <f>SUM(D52:D54)</f>
        <v>4</v>
      </c>
    </row>
    <row r="56" spans="1:4" x14ac:dyDescent="0.2">
      <c r="A56" s="36" t="s">
        <v>9</v>
      </c>
      <c r="B56" s="37"/>
      <c r="C56" s="10" t="s">
        <v>10</v>
      </c>
      <c r="D56" s="11">
        <f>SUM(D47,D51,D55)</f>
        <v>12</v>
      </c>
    </row>
    <row r="57" spans="1:4" ht="64.5" customHeight="1" x14ac:dyDescent="0.2">
      <c r="A57" s="48" t="s">
        <v>37</v>
      </c>
      <c r="B57" s="49"/>
      <c r="C57" s="49"/>
      <c r="D57" s="50"/>
    </row>
    <row r="58" spans="1:4" x14ac:dyDescent="0.2">
      <c r="A58" s="18">
        <v>45669</v>
      </c>
      <c r="B58" s="23"/>
      <c r="C58" s="24"/>
      <c r="D58" s="7"/>
    </row>
    <row r="59" spans="1:4" x14ac:dyDescent="0.2">
      <c r="A59" s="18"/>
      <c r="B59" s="23"/>
      <c r="C59" s="24"/>
      <c r="D59" s="7"/>
    </row>
    <row r="60" spans="1:4" x14ac:dyDescent="0.2">
      <c r="A60" s="18"/>
      <c r="B60" s="23"/>
      <c r="C60" s="24"/>
      <c r="D60" s="7"/>
    </row>
    <row r="61" spans="1:4" x14ac:dyDescent="0.2">
      <c r="A61" s="18"/>
      <c r="B61" s="2"/>
      <c r="C61" s="3" t="s">
        <v>8</v>
      </c>
      <c r="D61" s="8">
        <f>SUM(D58:D60)</f>
        <v>0</v>
      </c>
    </row>
    <row r="62" spans="1:4" x14ac:dyDescent="0.2">
      <c r="A62" s="17">
        <v>45669</v>
      </c>
      <c r="B62" s="19"/>
      <c r="C62" s="20"/>
      <c r="D62" s="6"/>
    </row>
    <row r="63" spans="1:4" x14ac:dyDescent="0.2">
      <c r="A63" s="18"/>
      <c r="B63" s="23"/>
      <c r="C63" s="24"/>
      <c r="D63" s="7"/>
    </row>
    <row r="64" spans="1:4" x14ac:dyDescent="0.2">
      <c r="A64" s="18"/>
      <c r="B64" s="23"/>
      <c r="C64" s="24"/>
      <c r="D64" s="7"/>
    </row>
    <row r="65" spans="1:4" x14ac:dyDescent="0.2">
      <c r="A65" s="18"/>
      <c r="B65" s="2"/>
      <c r="C65" s="3" t="s">
        <v>8</v>
      </c>
      <c r="D65" s="8">
        <f>SUM(D62:D64)</f>
        <v>0</v>
      </c>
    </row>
    <row r="66" spans="1:4" x14ac:dyDescent="0.2">
      <c r="A66" s="17">
        <v>45670</v>
      </c>
      <c r="B66" s="19"/>
      <c r="C66" s="20"/>
      <c r="D66" s="6"/>
    </row>
    <row r="67" spans="1:4" x14ac:dyDescent="0.2">
      <c r="A67" s="18"/>
      <c r="B67" s="23"/>
      <c r="C67" s="24"/>
      <c r="D67" s="7"/>
    </row>
    <row r="68" spans="1:4" x14ac:dyDescent="0.2">
      <c r="A68" s="18"/>
      <c r="B68" s="23"/>
      <c r="C68" s="24"/>
      <c r="D68" s="7"/>
    </row>
    <row r="69" spans="1:4" x14ac:dyDescent="0.2">
      <c r="A69" s="18"/>
      <c r="B69" s="2"/>
      <c r="C69" s="3" t="s">
        <v>8</v>
      </c>
      <c r="D69" s="8">
        <f>SUM(D66:D68)</f>
        <v>0</v>
      </c>
    </row>
    <row r="70" spans="1:4" x14ac:dyDescent="0.2">
      <c r="A70" s="36" t="s">
        <v>9</v>
      </c>
      <c r="B70" s="37"/>
      <c r="C70" s="10" t="s">
        <v>10</v>
      </c>
      <c r="D70" s="11">
        <f>SUM(D61,D65,D69)</f>
        <v>0</v>
      </c>
    </row>
    <row r="72" spans="1:4" x14ac:dyDescent="0.2">
      <c r="C72" s="12" t="s">
        <v>11</v>
      </c>
      <c r="D72" s="9">
        <f>D14+D28+D42+D56+D70</f>
        <v>38</v>
      </c>
    </row>
  </sheetData>
  <mergeCells count="65">
    <mergeCell ref="A66:A69"/>
    <mergeCell ref="B66:C66"/>
    <mergeCell ref="B67:C67"/>
    <mergeCell ref="B68:C68"/>
    <mergeCell ref="A70:B70"/>
    <mergeCell ref="A58:A61"/>
    <mergeCell ref="B59:C59"/>
    <mergeCell ref="A62:A65"/>
    <mergeCell ref="B63:C63"/>
    <mergeCell ref="B64:C64"/>
    <mergeCell ref="B58:C58"/>
    <mergeCell ref="B60:C60"/>
    <mergeCell ref="B62:C62"/>
    <mergeCell ref="A56:B56"/>
    <mergeCell ref="A57:D57"/>
    <mergeCell ref="A48:A51"/>
    <mergeCell ref="B48:C48"/>
    <mergeCell ref="B49:C49"/>
    <mergeCell ref="B50:C50"/>
    <mergeCell ref="A52:A55"/>
    <mergeCell ref="B52:C52"/>
    <mergeCell ref="B53:C53"/>
    <mergeCell ref="B54:C54"/>
    <mergeCell ref="A42:B42"/>
    <mergeCell ref="A43:D43"/>
    <mergeCell ref="A44:A47"/>
    <mergeCell ref="B44:C44"/>
    <mergeCell ref="B45:C45"/>
    <mergeCell ref="B46:C46"/>
    <mergeCell ref="A29:D29"/>
    <mergeCell ref="A28:B28"/>
    <mergeCell ref="A30:A33"/>
    <mergeCell ref="A34:A37"/>
    <mergeCell ref="B34:C34"/>
    <mergeCell ref="B35:C35"/>
    <mergeCell ref="B36:C36"/>
    <mergeCell ref="A20:A23"/>
    <mergeCell ref="A24:A27"/>
    <mergeCell ref="B24:C24"/>
    <mergeCell ref="B25:C25"/>
    <mergeCell ref="B26:C26"/>
    <mergeCell ref="B20:C22"/>
    <mergeCell ref="A14:B14"/>
    <mergeCell ref="A15:D15"/>
    <mergeCell ref="A16:A19"/>
    <mergeCell ref="A10:A13"/>
    <mergeCell ref="B10:C10"/>
    <mergeCell ref="B11:C11"/>
    <mergeCell ref="B12:C12"/>
    <mergeCell ref="B16:C18"/>
    <mergeCell ref="B38:C38"/>
    <mergeCell ref="B39:C39"/>
    <mergeCell ref="B40:C40"/>
    <mergeCell ref="A38:A41"/>
    <mergeCell ref="B30:C30"/>
    <mergeCell ref="B31:C31"/>
    <mergeCell ref="B32:C32"/>
    <mergeCell ref="A6:A9"/>
    <mergeCell ref="B6:C6"/>
    <mergeCell ref="B7:C7"/>
    <mergeCell ref="B8:C8"/>
    <mergeCell ref="A1:D1"/>
    <mergeCell ref="B4:C5"/>
    <mergeCell ref="A4:A5"/>
    <mergeCell ref="A2:D2"/>
  </mergeCells>
  <conditionalFormatting sqref="D6:D13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16:D27">
    <cfRule type="containsText" dxfId="9" priority="7" operator="containsText" text="Terminé">
      <formula>NOT(ISERROR(SEARCH("Terminé",D16)))</formula>
    </cfRule>
    <cfRule type="containsText" dxfId="8" priority="8" operator="containsText" text="En cours">
      <formula>NOT(ISERROR(SEARCH("En cours",D16)))</formula>
    </cfRule>
  </conditionalFormatting>
  <conditionalFormatting sqref="D30:D41">
    <cfRule type="containsText" dxfId="7" priority="5" operator="containsText" text="Terminé">
      <formula>NOT(ISERROR(SEARCH("Terminé",D30)))</formula>
    </cfRule>
    <cfRule type="containsText" dxfId="6" priority="6" operator="containsText" text="En cours">
      <formula>NOT(ISERROR(SEARCH("En cours",D30)))</formula>
    </cfRule>
  </conditionalFormatting>
  <conditionalFormatting sqref="D44:D55">
    <cfRule type="containsText" dxfId="5" priority="3" operator="containsText" text="Terminé">
      <formula>NOT(ISERROR(SEARCH("Terminé",D44)))</formula>
    </cfRule>
    <cfRule type="containsText" dxfId="4" priority="4" operator="containsText" text="En cours">
      <formula>NOT(ISERROR(SEARCH("En cours",D44)))</formula>
    </cfRule>
  </conditionalFormatting>
  <conditionalFormatting sqref="D58:D69">
    <cfRule type="containsText" dxfId="3" priority="1" operator="containsText" text="Terminé">
      <formula>NOT(ISERROR(SEARCH("Terminé",D58)))</formula>
    </cfRule>
    <cfRule type="containsText" dxfId="2" priority="2" operator="containsText" text="En cours">
      <formula>NOT(ISERROR(SEARCH("En cours",D58)))</formula>
    </cfRule>
  </conditionalFormatting>
  <conditionalFormatting sqref="D72">
    <cfRule type="containsText" dxfId="1" priority="9" operator="containsText" text="Terminé">
      <formula>NOT(ISERROR(SEARCH("Terminé",D72)))</formula>
    </cfRule>
    <cfRule type="containsText" dxfId="0" priority="10" operator="containsText" text="En cours">
      <formula>NOT(ISERROR(SEARCH("En cours",D72)))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29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A574440-4762-4322-B305-C51AEF435DC1}">
  <ds:schemaRefs>
    <ds:schemaRef ds:uri="http://schemas.microsoft.com/office/2006/metadata/properties"/>
    <ds:schemaRef ds:uri="http://schemas.microsoft.com/office/infopath/2007/PartnerControls"/>
    <ds:schemaRef ds:uri="32d4d717-cd3a-4b3d-8168-24cfd96cd6ea"/>
    <ds:schemaRef ds:uri="5cbbe46b-cb1d-4e56-8c99-5e3dbfb293e5"/>
  </ds:schemaRefs>
</ds:datastoreItem>
</file>

<file path=customXml/itemProps2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da Silva Diogo</cp:lastModifiedBy>
  <cp:revision/>
  <dcterms:created xsi:type="dcterms:W3CDTF">2002-03-11T12:50:08Z</dcterms:created>
  <dcterms:modified xsi:type="dcterms:W3CDTF">2026-01-06T10:17:13Z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