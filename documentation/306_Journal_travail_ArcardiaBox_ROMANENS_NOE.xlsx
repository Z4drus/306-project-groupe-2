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heckCompatibility="1"/>
  <mc:AlternateContent xmlns:mc="http://schemas.openxmlformats.org/markup-compatibility/2006">
    <mc:Choice Requires="x15">
      <x15ac:absPath xmlns:x15ac="http://schemas.microsoft.com/office/spreadsheetml/2010/11/ac" url="/Users/noe/Downloads/"/>
    </mc:Choice>
  </mc:AlternateContent>
  <xr:revisionPtr revIDLastSave="0" documentId="8_{A65CF74C-7C41-C64A-AE20-F2D52F4D50E3}" xr6:coauthVersionLast="47" xr6:coauthVersionMax="47" xr10:uidLastSave="{00000000-0000-0000-0000-000000000000}"/>
  <bookViews>
    <workbookView xWindow="0" yWindow="680" windowWidth="30240" windowHeight="18980" xr2:uid="{00000000-000D-0000-FFFF-FFFF00000000}"/>
  </bookViews>
  <sheets>
    <sheet name="Journal" sheetId="8" r:id="rId1"/>
  </sheets>
  <definedNames>
    <definedName name="_xlnm.Print_Titles" localSheetId="0">Journal!$B:$D,Journal!$1:$5</definedName>
    <definedName name="_xlnm.Print_Area" localSheetId="0">Journal!$A$1:$D$61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8" l="1"/>
  <c r="D59" i="8"/>
  <c r="D51" i="8"/>
  <c r="D73" i="8"/>
  <c r="D65" i="8"/>
  <c r="D69" i="8"/>
  <c r="D74" i="8"/>
  <c r="D17" i="8"/>
  <c r="D9" i="8"/>
  <c r="D13" i="8"/>
  <c r="D18" i="8"/>
  <c r="D23" i="8"/>
  <c r="D27" i="8"/>
  <c r="D31" i="8"/>
  <c r="D32" i="8"/>
  <c r="D37" i="8"/>
  <c r="D41" i="8"/>
  <c r="D45" i="8"/>
  <c r="D46" i="8"/>
  <c r="D60" i="8"/>
  <c r="D76" i="8"/>
</calcChain>
</file>

<file path=xl/sharedStrings.xml><?xml version="1.0" encoding="utf-8"?>
<sst xmlns="http://schemas.openxmlformats.org/spreadsheetml/2006/main" count="39" uniqueCount="16">
  <si>
    <t>Problème</t>
  </si>
  <si>
    <t>Solution</t>
  </si>
  <si>
    <t>Date</t>
  </si>
  <si>
    <t>Travail effectué</t>
  </si>
  <si>
    <t>Temps</t>
  </si>
  <si>
    <t>Absence</t>
  </si>
  <si>
    <t>[H.h]</t>
  </si>
  <si>
    <t>Rencontre</t>
  </si>
  <si>
    <t>Total &gt;</t>
  </si>
  <si>
    <r>
      <t xml:space="preserve">Réflexion personnelle hebdomadaire </t>
    </r>
    <r>
      <rPr>
        <sz val="8"/>
        <rFont val="Calibri"/>
        <family val="2"/>
      </rPr>
      <t>↓↓↓</t>
    </r>
  </si>
  <si>
    <t>Total de la semaine &gt;</t>
  </si>
  <si>
    <t>Total général &gt;</t>
  </si>
  <si>
    <r>
      <t>Projet :</t>
    </r>
    <r>
      <rPr>
        <b/>
        <sz val="14"/>
        <color rgb="FF000000"/>
        <rFont val="Arial"/>
        <family val="2"/>
      </rPr>
      <t xml:space="preserve"> ArcadiaBox</t>
    </r>
  </si>
  <si>
    <t>Férié</t>
  </si>
  <si>
    <t>Romanens Noé</t>
  </si>
  <si>
    <t>La semaine s'est bien passée, on a bien avancé le projet et tout roule, je suis content de ce qu'on a accompli jusqu'à maintenant.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</si>
</sst>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15" xfId="0" applyFont="1" applyFill="1" applyBorder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5" fontId="2" fillId="0" borderId="6" xfId="0" applyNumberFormat="1" applyFont="1" applyBorder="1" applyAlignment="1" applyProtection="1">
      <alignment horizontal="center" vertical="center"/>
      <protection locked="0"/>
    </xf>
    <xf numFmtId="165" fontId="2" fillId="0" borderId="4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right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right" vertical="center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164" fontId="0" fillId="0" borderId="6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2" borderId="17" xfId="0" applyFont="1" applyFill="1" applyBorder="1" applyAlignment="1" applyProtection="1">
      <alignment horizontal="left" vertical="center"/>
      <protection locked="0"/>
    </xf>
    <xf numFmtId="0" fontId="2" fillId="2" borderId="19" xfId="0" applyFont="1" applyFill="1" applyBorder="1" applyAlignment="1" applyProtection="1">
      <alignment horizontal="left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164" fontId="0" fillId="0" borderId="16" xfId="0" applyNumberFormat="1" applyBorder="1" applyAlignment="1" applyProtection="1">
      <alignment horizontal="left" vertical="center"/>
      <protection locked="0"/>
    </xf>
    <xf numFmtId="164" fontId="0" fillId="0" borderId="14" xfId="0" applyNumberFormat="1" applyBorder="1" applyAlignment="1" applyProtection="1">
      <alignment horizontal="left" vertical="center"/>
      <protection locked="0"/>
    </xf>
    <xf numFmtId="164" fontId="0" fillId="0" borderId="17" xfId="0" applyNumberFormat="1" applyBorder="1" applyAlignment="1" applyProtection="1">
      <alignment horizontal="left" vertical="center"/>
      <protection locked="0"/>
    </xf>
    <xf numFmtId="164" fontId="0" fillId="0" borderId="19" xfId="0" applyNumberFormat="1" applyBorder="1" applyAlignment="1" applyProtection="1">
      <alignment horizontal="left" vertical="center"/>
      <protection locked="0"/>
    </xf>
    <xf numFmtId="164" fontId="0" fillId="0" borderId="18" xfId="0" applyNumberFormat="1" applyBorder="1" applyAlignment="1" applyProtection="1">
      <alignment horizontal="left" vertical="center"/>
      <protection locked="0"/>
    </xf>
    <xf numFmtId="164" fontId="10" fillId="0" borderId="4" xfId="0" applyNumberFormat="1" applyFont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4" borderId="15" xfId="0" applyFont="1" applyFill="1" applyBorder="1" applyAlignment="1" applyProtection="1">
      <alignment horizontal="center" vertical="center"/>
      <protection locked="0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5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10" fillId="0" borderId="17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A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="150" zoomScaleNormal="115" zoomScaleSheetLayoutView="115" workbookViewId="0">
      <pane xSplit="4" ySplit="5" topLeftCell="E21" activePane="bottomRight" state="frozenSplit"/>
      <selection pane="topRight" activeCell="K1" sqref="K1"/>
      <selection pane="bottomLeft" activeCell="A13" sqref="A13"/>
      <selection pane="bottomRight" activeCell="E33" sqref="E33"/>
    </sheetView>
  </sheetViews>
  <sheetFormatPr baseColWidth="10" defaultColWidth="11.5" defaultRowHeight="13" x14ac:dyDescent="0.15"/>
  <cols>
    <col min="1" max="1" width="11.5" style="1"/>
    <col min="2" max="2" width="31.6640625" style="1" customWidth="1"/>
    <col min="3" max="3" width="36.6640625" style="1" customWidth="1"/>
    <col min="4" max="4" width="11.5" style="1" customWidth="1"/>
    <col min="5" max="7" width="9.1640625" style="1" customWidth="1"/>
    <col min="8" max="8" width="4.5" style="1" customWidth="1"/>
    <col min="9" max="9" width="10.83203125" style="1" customWidth="1"/>
    <col min="10" max="217" width="9.1640625" style="1" customWidth="1"/>
    <col min="218" max="16384" width="11.5" style="1"/>
  </cols>
  <sheetData>
    <row r="1" spans="1:9" ht="20" x14ac:dyDescent="0.2">
      <c r="A1" s="38" t="s">
        <v>12</v>
      </c>
      <c r="B1" s="39"/>
      <c r="C1" s="39"/>
      <c r="D1" s="39"/>
    </row>
    <row r="2" spans="1:9" ht="18" x14ac:dyDescent="0.2">
      <c r="A2" s="46" t="s">
        <v>14</v>
      </c>
      <c r="B2" s="46"/>
      <c r="C2" s="46"/>
      <c r="D2" s="46"/>
      <c r="H2" s="15"/>
      <c r="I2" s="1" t="s">
        <v>0</v>
      </c>
    </row>
    <row r="3" spans="1:9" x14ac:dyDescent="0.15">
      <c r="H3" s="16"/>
      <c r="I3" s="1" t="s">
        <v>1</v>
      </c>
    </row>
    <row r="4" spans="1:9" ht="12" customHeight="1" x14ac:dyDescent="0.15">
      <c r="A4" s="40" t="s">
        <v>2</v>
      </c>
      <c r="B4" s="40" t="s">
        <v>3</v>
      </c>
      <c r="C4" s="41"/>
      <c r="D4" s="4" t="s">
        <v>4</v>
      </c>
      <c r="H4" s="14"/>
      <c r="I4" s="1" t="s">
        <v>5</v>
      </c>
    </row>
    <row r="5" spans="1:9" ht="14" thickBot="1" x14ac:dyDescent="0.2">
      <c r="A5" s="42"/>
      <c r="B5" s="42"/>
      <c r="C5" s="43"/>
      <c r="D5" s="5" t="s">
        <v>6</v>
      </c>
      <c r="H5" s="13"/>
      <c r="I5" s="1" t="s">
        <v>7</v>
      </c>
    </row>
    <row r="6" spans="1:9" ht="12.75" customHeight="1" x14ac:dyDescent="0.15">
      <c r="A6" s="47">
        <v>45992</v>
      </c>
      <c r="B6" s="44"/>
      <c r="C6" s="45"/>
      <c r="D6" s="6"/>
    </row>
    <row r="7" spans="1:9" x14ac:dyDescent="0.15">
      <c r="A7" s="18"/>
      <c r="B7" s="21"/>
      <c r="C7" s="22"/>
      <c r="D7" s="7"/>
    </row>
    <row r="8" spans="1:9" x14ac:dyDescent="0.15">
      <c r="A8" s="18"/>
      <c r="B8" s="21"/>
      <c r="C8" s="22"/>
      <c r="D8" s="7"/>
    </row>
    <row r="9" spans="1:9" x14ac:dyDescent="0.15">
      <c r="A9" s="18"/>
      <c r="B9" s="2"/>
      <c r="C9" s="3" t="s">
        <v>8</v>
      </c>
      <c r="D9" s="8">
        <f>SUM(D6:D8)</f>
        <v>0</v>
      </c>
    </row>
    <row r="10" spans="1:9" ht="12.75" customHeight="1" x14ac:dyDescent="0.15">
      <c r="A10" s="17">
        <v>45992</v>
      </c>
      <c r="B10" s="19"/>
      <c r="C10" s="20"/>
      <c r="D10" s="6"/>
    </row>
    <row r="11" spans="1:9" x14ac:dyDescent="0.15">
      <c r="A11" s="18"/>
      <c r="B11" s="21"/>
      <c r="C11" s="22"/>
      <c r="D11" s="7"/>
    </row>
    <row r="12" spans="1:9" x14ac:dyDescent="0.15">
      <c r="A12" s="18"/>
      <c r="B12" s="21"/>
      <c r="C12" s="22"/>
      <c r="D12" s="7"/>
    </row>
    <row r="13" spans="1:9" x14ac:dyDescent="0.15">
      <c r="A13" s="18"/>
      <c r="B13" s="2"/>
      <c r="C13" s="3" t="s">
        <v>8</v>
      </c>
      <c r="D13" s="8">
        <f>SUM(D10:D12)</f>
        <v>0</v>
      </c>
    </row>
    <row r="14" spans="1:9" ht="12.75" customHeight="1" x14ac:dyDescent="0.15">
      <c r="A14" s="17">
        <v>45993</v>
      </c>
      <c r="B14" s="19"/>
      <c r="C14" s="20"/>
      <c r="D14" s="6"/>
    </row>
    <row r="15" spans="1:9" x14ac:dyDescent="0.15">
      <c r="A15" s="18"/>
      <c r="B15" s="21"/>
      <c r="C15" s="22"/>
      <c r="D15" s="7"/>
    </row>
    <row r="16" spans="1:9" x14ac:dyDescent="0.15">
      <c r="A16" s="18"/>
      <c r="B16" s="21"/>
      <c r="C16" s="22"/>
      <c r="D16" s="7"/>
    </row>
    <row r="17" spans="1:4" x14ac:dyDescent="0.15">
      <c r="A17" s="18"/>
      <c r="B17" s="2"/>
      <c r="C17" s="3" t="s">
        <v>8</v>
      </c>
      <c r="D17" s="8">
        <f>SUM(D14:D16)</f>
        <v>0</v>
      </c>
    </row>
    <row r="18" spans="1:4" x14ac:dyDescent="0.15">
      <c r="A18" s="23" t="s">
        <v>9</v>
      </c>
      <c r="B18" s="24"/>
      <c r="C18" s="10" t="s">
        <v>10</v>
      </c>
      <c r="D18" s="11">
        <f>SUM(D9,D13,D17)</f>
        <v>0</v>
      </c>
    </row>
    <row r="19" spans="1:4" ht="63" customHeight="1" x14ac:dyDescent="0.15">
      <c r="A19" s="28"/>
      <c r="B19" s="29"/>
      <c r="C19" s="29"/>
      <c r="D19" s="30"/>
    </row>
    <row r="20" spans="1:4" ht="12.75" customHeight="1" x14ac:dyDescent="0.15">
      <c r="A20" s="18">
        <v>45999</v>
      </c>
      <c r="B20" s="32" t="s">
        <v>13</v>
      </c>
      <c r="C20" s="33"/>
      <c r="D20" s="7"/>
    </row>
    <row r="21" spans="1:4" x14ac:dyDescent="0.15">
      <c r="A21" s="18"/>
      <c r="B21" s="34"/>
      <c r="C21" s="35"/>
      <c r="D21" s="7"/>
    </row>
    <row r="22" spans="1:4" x14ac:dyDescent="0.15">
      <c r="A22" s="18"/>
      <c r="B22" s="36"/>
      <c r="C22" s="37"/>
      <c r="D22" s="7"/>
    </row>
    <row r="23" spans="1:4" x14ac:dyDescent="0.15">
      <c r="A23" s="18"/>
      <c r="B23" s="2"/>
      <c r="C23" s="3" t="s">
        <v>8</v>
      </c>
      <c r="D23" s="8">
        <f>SUM(D20:D22)</f>
        <v>0</v>
      </c>
    </row>
    <row r="24" spans="1:4" ht="12.75" customHeight="1" x14ac:dyDescent="0.15">
      <c r="A24" s="17">
        <v>45999</v>
      </c>
      <c r="B24" s="32" t="s">
        <v>13</v>
      </c>
      <c r="C24" s="33"/>
      <c r="D24" s="6"/>
    </row>
    <row r="25" spans="1:4" x14ac:dyDescent="0.15">
      <c r="A25" s="18"/>
      <c r="B25" s="34"/>
      <c r="C25" s="35"/>
      <c r="D25" s="7"/>
    </row>
    <row r="26" spans="1:4" x14ac:dyDescent="0.15">
      <c r="A26" s="18"/>
      <c r="B26" s="36"/>
      <c r="C26" s="37"/>
      <c r="D26" s="7"/>
    </row>
    <row r="27" spans="1:4" x14ac:dyDescent="0.15">
      <c r="A27" s="18"/>
      <c r="B27" s="2"/>
      <c r="C27" s="3" t="s">
        <v>8</v>
      </c>
      <c r="D27" s="8">
        <f>SUM(D24:D26)</f>
        <v>0</v>
      </c>
    </row>
    <row r="28" spans="1:4" ht="12.75" customHeight="1" x14ac:dyDescent="0.15">
      <c r="A28" s="17">
        <v>46000</v>
      </c>
      <c r="B28" s="19"/>
      <c r="C28" s="20"/>
      <c r="D28" s="6"/>
    </row>
    <row r="29" spans="1:4" x14ac:dyDescent="0.15">
      <c r="A29" s="18"/>
      <c r="B29" s="21"/>
      <c r="C29" s="22"/>
      <c r="D29" s="7"/>
    </row>
    <row r="30" spans="1:4" x14ac:dyDescent="0.15">
      <c r="A30" s="18"/>
      <c r="B30" s="21"/>
      <c r="C30" s="22"/>
      <c r="D30" s="7"/>
    </row>
    <row r="31" spans="1:4" x14ac:dyDescent="0.15">
      <c r="A31" s="18"/>
      <c r="B31" s="2"/>
      <c r="C31" s="3" t="s">
        <v>8</v>
      </c>
      <c r="D31" s="8">
        <f>SUM(D28:D30)</f>
        <v>0</v>
      </c>
    </row>
    <row r="32" spans="1:4" x14ac:dyDescent="0.15">
      <c r="A32" s="23" t="s">
        <v>9</v>
      </c>
      <c r="B32" s="24"/>
      <c r="C32" s="10" t="s">
        <v>10</v>
      </c>
      <c r="D32" s="11">
        <f>SUM(D23,D27,D31)</f>
        <v>0</v>
      </c>
    </row>
    <row r="33" spans="1:4" ht="63" customHeight="1" x14ac:dyDescent="0.15">
      <c r="A33" s="48" t="s">
        <v>15</v>
      </c>
      <c r="B33" s="29"/>
      <c r="C33" s="29"/>
      <c r="D33" s="30"/>
    </row>
    <row r="34" spans="1:4" ht="12.75" customHeight="1" x14ac:dyDescent="0.15">
      <c r="A34" s="31">
        <v>46006</v>
      </c>
      <c r="B34" s="19"/>
      <c r="C34" s="20"/>
      <c r="D34" s="7"/>
    </row>
    <row r="35" spans="1:4" x14ac:dyDescent="0.15">
      <c r="A35" s="18"/>
      <c r="B35" s="21"/>
      <c r="C35" s="22"/>
      <c r="D35" s="7"/>
    </row>
    <row r="36" spans="1:4" x14ac:dyDescent="0.15">
      <c r="A36" s="18"/>
      <c r="B36" s="21"/>
      <c r="C36" s="22"/>
      <c r="D36" s="7"/>
    </row>
    <row r="37" spans="1:4" x14ac:dyDescent="0.15">
      <c r="A37" s="18"/>
      <c r="B37" s="2"/>
      <c r="C37" s="3" t="s">
        <v>8</v>
      </c>
      <c r="D37" s="8">
        <f>SUM(D34:D36)</f>
        <v>0</v>
      </c>
    </row>
    <row r="38" spans="1:4" ht="12.75" customHeight="1" x14ac:dyDescent="0.15">
      <c r="A38" s="17">
        <v>46006</v>
      </c>
      <c r="B38" s="19"/>
      <c r="C38" s="20"/>
      <c r="D38" s="6"/>
    </row>
    <row r="39" spans="1:4" x14ac:dyDescent="0.15">
      <c r="A39" s="18"/>
      <c r="B39" s="21"/>
      <c r="C39" s="22"/>
      <c r="D39" s="7"/>
    </row>
    <row r="40" spans="1:4" x14ac:dyDescent="0.15">
      <c r="A40" s="18"/>
      <c r="B40" s="21"/>
      <c r="C40" s="22"/>
      <c r="D40" s="7"/>
    </row>
    <row r="41" spans="1:4" x14ac:dyDescent="0.15">
      <c r="A41" s="18"/>
      <c r="B41" s="2"/>
      <c r="C41" s="3" t="s">
        <v>8</v>
      </c>
      <c r="D41" s="8">
        <f>SUM(D38:D40)</f>
        <v>0</v>
      </c>
    </row>
    <row r="42" spans="1:4" ht="12.75" customHeight="1" x14ac:dyDescent="0.15">
      <c r="A42" s="17">
        <v>46007</v>
      </c>
      <c r="B42" s="19"/>
      <c r="C42" s="20"/>
      <c r="D42" s="6"/>
    </row>
    <row r="43" spans="1:4" x14ac:dyDescent="0.15">
      <c r="A43" s="18"/>
      <c r="B43" s="21"/>
      <c r="C43" s="22"/>
      <c r="D43" s="7"/>
    </row>
    <row r="44" spans="1:4" x14ac:dyDescent="0.15">
      <c r="A44" s="18"/>
      <c r="B44" s="21"/>
      <c r="C44" s="22"/>
      <c r="D44" s="7"/>
    </row>
    <row r="45" spans="1:4" x14ac:dyDescent="0.15">
      <c r="A45" s="18"/>
      <c r="B45" s="2"/>
      <c r="C45" s="3" t="s">
        <v>8</v>
      </c>
      <c r="D45" s="8">
        <f>SUM(D42:D44)</f>
        <v>0</v>
      </c>
    </row>
    <row r="46" spans="1:4" x14ac:dyDescent="0.15">
      <c r="A46" s="23" t="s">
        <v>9</v>
      </c>
      <c r="B46" s="24"/>
      <c r="C46" s="10" t="s">
        <v>10</v>
      </c>
      <c r="D46" s="11">
        <f>SUM(D37,D41,D45)</f>
        <v>0</v>
      </c>
    </row>
    <row r="47" spans="1:4" ht="63" customHeight="1" x14ac:dyDescent="0.15">
      <c r="A47" s="28"/>
      <c r="B47" s="29"/>
      <c r="C47" s="29"/>
      <c r="D47" s="30"/>
    </row>
    <row r="48" spans="1:4" ht="12.75" customHeight="1" x14ac:dyDescent="0.15">
      <c r="A48" s="18">
        <v>45662</v>
      </c>
      <c r="B48" s="19"/>
      <c r="C48" s="20"/>
      <c r="D48" s="7"/>
    </row>
    <row r="49" spans="1:4" x14ac:dyDescent="0.15">
      <c r="A49" s="18"/>
      <c r="B49" s="21"/>
      <c r="C49" s="22"/>
      <c r="D49" s="7"/>
    </row>
    <row r="50" spans="1:4" x14ac:dyDescent="0.15">
      <c r="A50" s="18"/>
      <c r="B50" s="21"/>
      <c r="C50" s="22"/>
      <c r="D50" s="7"/>
    </row>
    <row r="51" spans="1:4" x14ac:dyDescent="0.15">
      <c r="A51" s="18"/>
      <c r="B51" s="2"/>
      <c r="C51" s="3" t="s">
        <v>8</v>
      </c>
      <c r="D51" s="8">
        <f>SUM(D48:D50)</f>
        <v>0</v>
      </c>
    </row>
    <row r="52" spans="1:4" x14ac:dyDescent="0.15">
      <c r="A52" s="17">
        <v>45662</v>
      </c>
      <c r="B52" s="19"/>
      <c r="C52" s="20"/>
      <c r="D52" s="6"/>
    </row>
    <row r="53" spans="1:4" x14ac:dyDescent="0.15">
      <c r="A53" s="18"/>
      <c r="B53" s="21"/>
      <c r="C53" s="22"/>
      <c r="D53" s="7"/>
    </row>
    <row r="54" spans="1:4" x14ac:dyDescent="0.15">
      <c r="A54" s="18"/>
      <c r="B54" s="21"/>
      <c r="C54" s="22"/>
      <c r="D54" s="7"/>
    </row>
    <row r="55" spans="1:4" x14ac:dyDescent="0.15">
      <c r="A55" s="18"/>
      <c r="B55" s="2"/>
      <c r="C55" s="3" t="s">
        <v>8</v>
      </c>
      <c r="D55" s="8">
        <f>SUM(D52:D54)</f>
        <v>0</v>
      </c>
    </row>
    <row r="56" spans="1:4" ht="12.75" customHeight="1" x14ac:dyDescent="0.15">
      <c r="A56" s="17">
        <v>45663</v>
      </c>
      <c r="B56" s="19"/>
      <c r="C56" s="20"/>
      <c r="D56" s="6"/>
    </row>
    <row r="57" spans="1:4" x14ac:dyDescent="0.15">
      <c r="A57" s="18"/>
      <c r="B57" s="21"/>
      <c r="C57" s="22"/>
      <c r="D57" s="7"/>
    </row>
    <row r="58" spans="1:4" x14ac:dyDescent="0.15">
      <c r="A58" s="18"/>
      <c r="B58" s="21"/>
      <c r="C58" s="22"/>
      <c r="D58" s="7"/>
    </row>
    <row r="59" spans="1:4" x14ac:dyDescent="0.15">
      <c r="A59" s="18"/>
      <c r="B59" s="2"/>
      <c r="C59" s="3" t="s">
        <v>8</v>
      </c>
      <c r="D59" s="8">
        <f>SUM(D56:D58)</f>
        <v>0</v>
      </c>
    </row>
    <row r="60" spans="1:4" x14ac:dyDescent="0.15">
      <c r="A60" s="23" t="s">
        <v>9</v>
      </c>
      <c r="B60" s="24"/>
      <c r="C60" s="10" t="s">
        <v>10</v>
      </c>
      <c r="D60" s="11">
        <f>SUM(D51,D55,D59)</f>
        <v>0</v>
      </c>
    </row>
    <row r="61" spans="1:4" ht="64.5" customHeight="1" x14ac:dyDescent="0.15">
      <c r="A61" s="25"/>
      <c r="B61" s="26"/>
      <c r="C61" s="26"/>
      <c r="D61" s="27"/>
    </row>
    <row r="62" spans="1:4" x14ac:dyDescent="0.15">
      <c r="A62" s="18">
        <v>45669</v>
      </c>
      <c r="B62" s="21"/>
      <c r="C62" s="22"/>
      <c r="D62" s="7"/>
    </row>
    <row r="63" spans="1:4" x14ac:dyDescent="0.15">
      <c r="A63" s="18"/>
      <c r="B63" s="21"/>
      <c r="C63" s="22"/>
      <c r="D63" s="7"/>
    </row>
    <row r="64" spans="1:4" x14ac:dyDescent="0.15">
      <c r="A64" s="18"/>
      <c r="B64" s="21"/>
      <c r="C64" s="22"/>
      <c r="D64" s="7"/>
    </row>
    <row r="65" spans="1:4" x14ac:dyDescent="0.15">
      <c r="A65" s="18"/>
      <c r="B65" s="2"/>
      <c r="C65" s="3" t="s">
        <v>8</v>
      </c>
      <c r="D65" s="8">
        <f>SUM(D62:D64)</f>
        <v>0</v>
      </c>
    </row>
    <row r="66" spans="1:4" x14ac:dyDescent="0.15">
      <c r="A66" s="17">
        <v>45669</v>
      </c>
      <c r="B66" s="19"/>
      <c r="C66" s="20"/>
      <c r="D66" s="6"/>
    </row>
    <row r="67" spans="1:4" x14ac:dyDescent="0.15">
      <c r="A67" s="18"/>
      <c r="B67" s="21"/>
      <c r="C67" s="22"/>
      <c r="D67" s="7"/>
    </row>
    <row r="68" spans="1:4" x14ac:dyDescent="0.15">
      <c r="A68" s="18"/>
      <c r="B68" s="21"/>
      <c r="C68" s="22"/>
      <c r="D68" s="7"/>
    </row>
    <row r="69" spans="1:4" x14ac:dyDescent="0.15">
      <c r="A69" s="18"/>
      <c r="B69" s="2"/>
      <c r="C69" s="3" t="s">
        <v>8</v>
      </c>
      <c r="D69" s="8">
        <f>SUM(D66:D68)</f>
        <v>0</v>
      </c>
    </row>
    <row r="70" spans="1:4" x14ac:dyDescent="0.15">
      <c r="A70" s="17">
        <v>45670</v>
      </c>
      <c r="B70" s="19"/>
      <c r="C70" s="20"/>
      <c r="D70" s="6"/>
    </row>
    <row r="71" spans="1:4" x14ac:dyDescent="0.15">
      <c r="A71" s="18"/>
      <c r="B71" s="21"/>
      <c r="C71" s="22"/>
      <c r="D71" s="7"/>
    </row>
    <row r="72" spans="1:4" x14ac:dyDescent="0.15">
      <c r="A72" s="18"/>
      <c r="B72" s="21"/>
      <c r="C72" s="22"/>
      <c r="D72" s="7"/>
    </row>
    <row r="73" spans="1:4" x14ac:dyDescent="0.15">
      <c r="A73" s="18"/>
      <c r="B73" s="2"/>
      <c r="C73" s="3" t="s">
        <v>8</v>
      </c>
      <c r="D73" s="8">
        <f>SUM(D70:D72)</f>
        <v>0</v>
      </c>
    </row>
    <row r="74" spans="1:4" x14ac:dyDescent="0.15">
      <c r="A74" s="23" t="s">
        <v>9</v>
      </c>
      <c r="B74" s="24"/>
      <c r="C74" s="10" t="s">
        <v>10</v>
      </c>
      <c r="D74" s="11">
        <f>SUM(D65,D69,D73)</f>
        <v>0</v>
      </c>
    </row>
    <row r="76" spans="1:4" x14ac:dyDescent="0.15">
      <c r="C76" s="12" t="s">
        <v>11</v>
      </c>
      <c r="D76" s="9">
        <f>D18+D32+D46+D60+D74</f>
        <v>0</v>
      </c>
    </row>
  </sheetData>
  <mergeCells count="69">
    <mergeCell ref="A10:A13"/>
    <mergeCell ref="B10:C10"/>
    <mergeCell ref="B11:C11"/>
    <mergeCell ref="B12:C12"/>
    <mergeCell ref="B7:C7"/>
    <mergeCell ref="B8:C8"/>
    <mergeCell ref="A6:A9"/>
    <mergeCell ref="A1:D1"/>
    <mergeCell ref="B4:C5"/>
    <mergeCell ref="B6:C6"/>
    <mergeCell ref="A4:A5"/>
    <mergeCell ref="A2:D2"/>
    <mergeCell ref="B42:C42"/>
    <mergeCell ref="B43:C43"/>
    <mergeCell ref="B44:C44"/>
    <mergeCell ref="A42:A45"/>
    <mergeCell ref="B34:C34"/>
    <mergeCell ref="B35:C35"/>
    <mergeCell ref="B36:C36"/>
    <mergeCell ref="A18:B18"/>
    <mergeCell ref="A19:D19"/>
    <mergeCell ref="A20:A23"/>
    <mergeCell ref="A14:A17"/>
    <mergeCell ref="B14:C14"/>
    <mergeCell ref="B15:C15"/>
    <mergeCell ref="B16:C16"/>
    <mergeCell ref="B20:C22"/>
    <mergeCell ref="A24:A27"/>
    <mergeCell ref="A28:A31"/>
    <mergeCell ref="B28:C28"/>
    <mergeCell ref="B29:C29"/>
    <mergeCell ref="B30:C30"/>
    <mergeCell ref="B24:C26"/>
    <mergeCell ref="A33:D33"/>
    <mergeCell ref="A32:B32"/>
    <mergeCell ref="A34:A37"/>
    <mergeCell ref="A38:A41"/>
    <mergeCell ref="B38:C38"/>
    <mergeCell ref="B39:C39"/>
    <mergeCell ref="B40:C40"/>
    <mergeCell ref="A46:B46"/>
    <mergeCell ref="A47:D47"/>
    <mergeCell ref="A48:A51"/>
    <mergeCell ref="B48:C48"/>
    <mergeCell ref="B49:C49"/>
    <mergeCell ref="B50:C50"/>
    <mergeCell ref="A60:B60"/>
    <mergeCell ref="A61:D61"/>
    <mergeCell ref="A52:A55"/>
    <mergeCell ref="B52:C52"/>
    <mergeCell ref="B53:C53"/>
    <mergeCell ref="B54:C54"/>
    <mergeCell ref="A56:A59"/>
    <mergeCell ref="B56:C56"/>
    <mergeCell ref="B57:C57"/>
    <mergeCell ref="B58:C58"/>
    <mergeCell ref="A62:A65"/>
    <mergeCell ref="B63:C63"/>
    <mergeCell ref="A66:A69"/>
    <mergeCell ref="B67:C67"/>
    <mergeCell ref="B68:C68"/>
    <mergeCell ref="B62:C62"/>
    <mergeCell ref="B64:C64"/>
    <mergeCell ref="B66:C66"/>
    <mergeCell ref="A70:A73"/>
    <mergeCell ref="B70:C70"/>
    <mergeCell ref="B71:C71"/>
    <mergeCell ref="B72:C72"/>
    <mergeCell ref="A74:B74"/>
  </mergeCells>
  <conditionalFormatting sqref="D6:D17">
    <cfRule type="containsText" dxfId="11" priority="31" operator="containsText" text="Terminé">
      <formula>NOT(ISERROR(SEARCH("Terminé",D6)))</formula>
    </cfRule>
    <cfRule type="containsText" dxfId="10" priority="32" operator="containsText" text="En cours">
      <formula>NOT(ISERROR(SEARCH("En cours",D6)))</formula>
    </cfRule>
  </conditionalFormatting>
  <conditionalFormatting sqref="D20:D31">
    <cfRule type="containsText" dxfId="9" priority="7" operator="containsText" text="Terminé">
      <formula>NOT(ISERROR(SEARCH("Terminé",D20)))</formula>
    </cfRule>
    <cfRule type="containsText" dxfId="8" priority="8" operator="containsText" text="En cours">
      <formula>NOT(ISERROR(SEARCH("En cours",D20)))</formula>
    </cfRule>
  </conditionalFormatting>
  <conditionalFormatting sqref="D34:D45">
    <cfRule type="containsText" dxfId="7" priority="5" operator="containsText" text="Terminé">
      <formula>NOT(ISERROR(SEARCH("Terminé",D34)))</formula>
    </cfRule>
    <cfRule type="containsText" dxfId="6" priority="6" operator="containsText" text="En cours">
      <formula>NOT(ISERROR(SEARCH("En cours",D34)))</formula>
    </cfRule>
  </conditionalFormatting>
  <conditionalFormatting sqref="D48:D59">
    <cfRule type="containsText" dxfId="5" priority="3" operator="containsText" text="Terminé">
      <formula>NOT(ISERROR(SEARCH("Terminé",D48)))</formula>
    </cfRule>
    <cfRule type="containsText" dxfId="4" priority="4" operator="containsText" text="En cours">
      <formula>NOT(ISERROR(SEARCH("En cours",D48)))</formula>
    </cfRule>
  </conditionalFormatting>
  <conditionalFormatting sqref="D62:D73">
    <cfRule type="containsText" dxfId="3" priority="1" operator="containsText" text="Terminé">
      <formula>NOT(ISERROR(SEARCH("Terminé",D62)))</formula>
    </cfRule>
    <cfRule type="containsText" dxfId="2" priority="2" operator="containsText" text="En cours">
      <formula>NOT(ISERROR(SEARCH("En cours",D62)))</formula>
    </cfRule>
  </conditionalFormatting>
  <conditionalFormatting sqref="D76">
    <cfRule type="containsText" dxfId="1" priority="9" operator="containsText" text="Terminé">
      <formula>NOT(ISERROR(SEARCH("Terminé",D76)))</formula>
    </cfRule>
    <cfRule type="containsText" dxfId="0" priority="10" operator="containsText" text="En cours">
      <formula>NOT(ISERROR(SEARCH("En cours",D76)))</formula>
    </cfRule>
  </conditionalFormatting>
  <printOptions horizontalCentered="1"/>
  <pageMargins left="0.28999999999999998" right="0.15748031496062992" top="0.82" bottom="0.43307086614173229" header="0.31496062992125984" footer="0.19685039370078741"/>
  <pageSetup paperSize="9" orientation="portrait" r:id="rId1"/>
  <headerFooter alignWithMargins="0">
    <oddHeader>&amp;L&amp;"Arial,Gras"&amp;14&amp;K00A4DBEMF-Informatique&amp;K000000
&amp;"Arial,Normal"&amp;12Phase de professionnalisation&amp;R&amp;"Arial,Gras"&amp;14EMF - Fribourg / Freiburg</oddHeader>
    <oddFooter>&amp;L&amp;8&amp;F&amp;R&amp;8Page &amp;P/&amp;N</oddFooter>
  </headerFooter>
  <rowBreaks count="1" manualBreakCount="1">
    <brk id="33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32d4d717-cd3a-4b3d-8168-24cfd96cd6ea" xsi:nil="true"/>
    <Invited_Students xmlns="32d4d717-cd3a-4b3d-8168-24cfd96cd6ea" xsi:nil="true"/>
    <Owner xmlns="32d4d717-cd3a-4b3d-8168-24cfd96cd6ea">
      <UserInfo>
        <DisplayName/>
        <AccountId xsi:nil="true"/>
        <AccountType/>
      </UserInfo>
    </Owner>
    <Teams_Channel_Section_Location xmlns="32d4d717-cd3a-4b3d-8168-24cfd96cd6ea" xsi:nil="true"/>
    <DefaultSectionNames xmlns="32d4d717-cd3a-4b3d-8168-24cfd96cd6ea" xsi:nil="true"/>
    <TeamsChannelId xmlns="32d4d717-cd3a-4b3d-8168-24cfd96cd6ea" xsi:nil="true"/>
    <Invited_Teachers xmlns="32d4d717-cd3a-4b3d-8168-24cfd96cd6ea" xsi:nil="true"/>
    <FolderType xmlns="32d4d717-cd3a-4b3d-8168-24cfd96cd6ea" xsi:nil="true"/>
    <CultureName xmlns="32d4d717-cd3a-4b3d-8168-24cfd96cd6ea" xsi:nil="true"/>
    <Student_Groups xmlns="32d4d717-cd3a-4b3d-8168-24cfd96cd6ea">
      <UserInfo>
        <DisplayName/>
        <AccountId xsi:nil="true"/>
        <AccountType/>
      </UserInfo>
    </Student_Groups>
    <Self_Registration_Enabled xmlns="32d4d717-cd3a-4b3d-8168-24cfd96cd6ea" xsi:nil="true"/>
    <Is_Collaboration_Space_Locked xmlns="32d4d717-cd3a-4b3d-8168-24cfd96cd6ea" xsi:nil="true"/>
    <Teachers xmlns="32d4d717-cd3a-4b3d-8168-24cfd96cd6ea">
      <UserInfo>
        <DisplayName/>
        <AccountId xsi:nil="true"/>
        <AccountType/>
      </UserInfo>
    </Teachers>
    <Students xmlns="32d4d717-cd3a-4b3d-8168-24cfd96cd6ea">
      <UserInfo>
        <DisplayName/>
        <AccountId xsi:nil="true"/>
        <AccountType/>
      </UserInfo>
    </Students>
    <lcf76f155ced4ddcb4097134ff3c332f xmlns="32d4d717-cd3a-4b3d-8168-24cfd96cd6ea">
      <Terms xmlns="http://schemas.microsoft.com/office/infopath/2007/PartnerControls"/>
    </lcf76f155ced4ddcb4097134ff3c332f>
    <Templates xmlns="32d4d717-cd3a-4b3d-8168-24cfd96cd6ea" xsi:nil="true"/>
    <LMS_Mappings xmlns="32d4d717-cd3a-4b3d-8168-24cfd96cd6ea" xsi:nil="true"/>
    <IsNotebookLocked xmlns="32d4d717-cd3a-4b3d-8168-24cfd96cd6ea" xsi:nil="true"/>
    <NotebookType xmlns="32d4d717-cd3a-4b3d-8168-24cfd96cd6ea" xsi:nil="true"/>
    <Distribution_Groups xmlns="32d4d717-cd3a-4b3d-8168-24cfd96cd6ea" xsi:nil="true"/>
    <Math_Settings xmlns="32d4d717-cd3a-4b3d-8168-24cfd96cd6ea" xsi:nil="true"/>
    <Has_Teacher_Only_SectionGroup xmlns="32d4d717-cd3a-4b3d-8168-24cfd96cd6ea" xsi:nil="true"/>
    <TaxCatchAll xmlns="5cbbe46b-cb1d-4e56-8c99-5e3dbfb293e5" xsi:nil="true"/>
    <SharedWithUsers xmlns="5cbbe46b-cb1d-4e56-8c99-5e3dbfb293e5">
      <UserInfo>
        <DisplayName/>
        <AccountId xsi:nil="true"/>
        <AccountType/>
      </UserInfo>
    </SharedWithUsers>
    <MediaLengthInSeconds xmlns="32d4d717-cd3a-4b3d-8168-24cfd96cd6ea" xsi:nil="true"/>
    <Groupe xmlns="32d4d717-cd3a-4b3d-8168-24cfd96cd6ea" xsi:nil="true"/>
    <Langue xmlns="32d4d717-cd3a-4b3d-8168-24cfd96cd6ea">FD = français voie bili</Langu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ED870E36F6F4C976CEAC6988F82A5" ma:contentTypeVersion="37" ma:contentTypeDescription="Crée un document." ma:contentTypeScope="" ma:versionID="3169f06de23f2334ced166a676265d3f">
  <xsd:schema xmlns:xsd="http://www.w3.org/2001/XMLSchema" xmlns:xs="http://www.w3.org/2001/XMLSchema" xmlns:p="http://schemas.microsoft.com/office/2006/metadata/properties" xmlns:ns2="32d4d717-cd3a-4b3d-8168-24cfd96cd6ea" xmlns:ns3="5cbbe46b-cb1d-4e56-8c99-5e3dbfb293e5" targetNamespace="http://schemas.microsoft.com/office/2006/metadata/properties" ma:root="true" ma:fieldsID="eab9665bb0af9cfdaba242b84d69e760" ns2:_="" ns3:_="">
    <xsd:import namespace="32d4d717-cd3a-4b3d-8168-24cfd96cd6ea"/>
    <xsd:import namespace="5cbbe46b-cb1d-4e56-8c99-5e3dbfb293e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angue" minOccurs="0"/>
                <xsd:element ref="ns2:Grou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4d717-cd3a-4b3d-8168-24cfd96cd6ea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ngue" ma:index="43" nillable="true" ma:displayName="Langue" ma:default="FD = français voie bili" ma:description="F = Français&#10;D = Deutsch&#10;DF = deutsch voie bili&#10;FD = français voie bili" ma:format="Dropdown" ma:internalName="Langue">
      <xsd:simpleType>
        <xsd:restriction base="dms:Text">
          <xsd:maxLength value="255"/>
        </xsd:restriction>
      </xsd:simpleType>
    </xsd:element>
    <xsd:element name="Groupe" ma:index="44" nillable="true" ma:displayName="Groupe" ma:description="Numéro du groupe de deux personnes" ma:format="Dropdown" ma:internalName="Group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be46b-cb1d-4e56-8c99-5e3dbfb293e5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1733f708-4d36-4008-a0be-686484e76be2}" ma:internalName="TaxCatchAll" ma:showField="CatchAllData" ma:web="5cbbe46b-cb1d-4e56-8c99-5e3dbfb29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4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0F71E-9B9F-4628-8A94-D320BA80A1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574440-4762-4322-B305-C51AEF435DC1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32d4d717-cd3a-4b3d-8168-24cfd96cd6ea"/>
    <ds:schemaRef ds:uri="http://schemas.microsoft.com/office/infopath/2007/PartnerControls"/>
    <ds:schemaRef ds:uri="http://www.w3.org/XML/1998/namespace"/>
    <ds:schemaRef ds:uri="5cbbe46b-cb1d-4e56-8c99-5e3dbfb293e5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445AE9-3816-4E66-9DE6-AF42B0662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4d717-cd3a-4b3d-8168-24cfd96cd6ea"/>
    <ds:schemaRef ds:uri="5cbbe46b-cb1d-4e56-8c99-5e3dbfb29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</vt:lpstr>
      <vt:lpstr>Journal!Impression_des_titres</vt:lpstr>
      <vt:lpstr>Journal!Zone_d_impression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Romanens Noé</cp:lastModifiedBy>
  <cp:revision/>
  <dcterms:created xsi:type="dcterms:W3CDTF">2002-03-11T12:50:08Z</dcterms:created>
  <dcterms:modified xsi:type="dcterms:W3CDTF">2025-12-09T10:39:59Z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0x010100280ED870E36F6F4C976CEAC6988F82A5</vt:lpwstr>
  </property>
  <property fmtid="{D5CDD505-2E9C-101B-9397-08002B2CF9AE}" pid="3" name="Order">
    <vt:r8>4324500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