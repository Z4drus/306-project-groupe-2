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axelle_hertig_studentfr_ch/Documents/Travail/Informatique/Dossier de formation/5-Modules/3ème année/Formation-Générale/306/dossier/"/>
    </mc:Choice>
  </mc:AlternateContent>
  <xr:revisionPtr revIDLastSave="0" documentId="8_{BB1A3377-4F8C-42A6-8D0E-113791F5526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Journal!$A$1:$D$55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8" l="1"/>
  <c r="D49" i="8"/>
  <c r="D53" i="8"/>
  <c r="D45" i="8"/>
  <c r="D67" i="8"/>
  <c r="D59" i="8"/>
  <c r="D63" i="8"/>
  <c r="D68" i="8"/>
  <c r="D9" i="8"/>
  <c r="D17" i="8"/>
  <c r="D21" i="8"/>
  <c r="D25" i="8"/>
  <c r="D26" i="8"/>
  <c r="D31" i="8"/>
  <c r="D35" i="8"/>
  <c r="D39" i="8"/>
  <c r="D40" i="8"/>
  <c r="D54" i="8"/>
  <c r="D70" i="8"/>
</calcChain>
</file>

<file path=xl/sharedStrings.xml><?xml version="1.0" encoding="utf-8"?>
<sst xmlns="http://schemas.openxmlformats.org/spreadsheetml/2006/main" count="46" uniqueCount="26">
  <si>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</si>
  <si>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</si>
  <si>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</si>
  <si>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</si>
  <si>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</si>
  <si>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</si>
  <si>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</si>
  <si>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</si>
  <si>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</si>
  <si>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</si>
  <si>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</si>
  <si>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</si>
  <si>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</si>
  <si>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 xml:space="preserve">Creation du diagramme de séqences </t>
  </si>
  <si>
    <t>création des maquettes</t>
  </si>
  <si>
    <t>code de l'interface</t>
  </si>
  <si>
    <t>oui ça c'est bien passer, il y a eu au debut quelque blanc sur les taches a faire.</t>
  </si>
  <si>
    <t>Hertig Axelle</t>
  </si>
  <si>
    <t>Diagramme de classe</t>
  </si>
  <si>
    <t>Code jeu 1 aide noe</t>
  </si>
  <si>
    <t xml:space="preserve">Db </t>
  </si>
  <si>
    <t>modif scrum + planning</t>
  </si>
  <si>
    <t>test GamePad</t>
  </si>
  <si>
    <t>Test des fonctionnalité /amélioration</t>
  </si>
  <si>
    <t>Documentation</t>
  </si>
  <si>
    <t>doc scrum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</si>
</sst>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top"/>
      <protection locked="0"/>
    </xf>
    <xf numFmtId="0" fontId="2" fillId="0" borderId="15" xfId="0" applyFont="1" applyBorder="1" applyAlignment="1" applyProtection="1">
      <alignment horizontal="left" vertical="top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2" fillId="0" borderId="14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0" borderId="9" xfId="0" applyFont="1" applyFill="1" applyBorder="1" applyAlignment="1" applyProtection="1">
      <alignment horizontal="left" vertical="center"/>
      <protection locked="0"/>
    </xf>
    <xf numFmtId="0" fontId="2" fillId="0" borderId="15" xfId="0" applyFont="1" applyFill="1" applyBorder="1" applyAlignment="1" applyProtection="1">
      <alignment horizontal="left" vertical="center"/>
      <protection locked="0"/>
    </xf>
    <xf numFmtId="0" fontId="2" fillId="0" borderId="10" xfId="0" applyFont="1" applyFill="1" applyBorder="1" applyAlignment="1" applyProtection="1">
      <alignment horizontal="left" vertical="center"/>
      <protection locked="0"/>
    </xf>
    <xf numFmtId="0" fontId="2" fillId="0" borderId="5" xfId="0" applyFont="1" applyFill="1" applyBorder="1" applyAlignment="1" applyProtection="1">
      <alignment horizontal="left" vertical="center"/>
      <protection locked="0"/>
    </xf>
    <xf numFmtId="0" fontId="2" fillId="0" borderId="11" xfId="0" applyFont="1" applyFill="1" applyBorder="1" applyAlignment="1" applyProtection="1">
      <alignment horizontal="left" vertical="center"/>
      <protection locked="0"/>
    </xf>
    <xf numFmtId="0" fontId="2" fillId="0" borderId="14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zoomScale="150" zoomScaleNormal="115" zoomScaleSheetLayoutView="115" workbookViewId="0">
      <pane xSplit="4" ySplit="5" topLeftCell="E11" activePane="bottomRight" state="frozenSplit"/>
      <selection pane="topRight" activeCell="K1" sqref="K1"/>
      <selection pane="bottomLeft" activeCell="A13" sqref="A13"/>
      <selection pane="bottomRight" activeCell="F19" sqref="F19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37" t="s">
        <v>12</v>
      </c>
      <c r="B1" s="38"/>
      <c r="C1" s="38"/>
      <c r="D1" s="38"/>
    </row>
    <row r="2" spans="1:9" ht="18" x14ac:dyDescent="0.25">
      <c r="A2" s="45" t="s">
        <v>17</v>
      </c>
      <c r="B2" s="45"/>
      <c r="C2" s="45"/>
      <c r="D2" s="45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39" t="s">
        <v>2</v>
      </c>
      <c r="B4" s="39" t="s">
        <v>3</v>
      </c>
      <c r="C4" s="40"/>
      <c r="D4" s="4" t="s">
        <v>4</v>
      </c>
      <c r="H4" s="14"/>
      <c r="I4" s="1" t="s">
        <v>5</v>
      </c>
    </row>
    <row r="5" spans="1:9" ht="13.5" thickBot="1" x14ac:dyDescent="0.25">
      <c r="A5" s="41"/>
      <c r="B5" s="41"/>
      <c r="C5" s="42"/>
      <c r="D5" s="5" t="s">
        <v>6</v>
      </c>
      <c r="H5" s="13"/>
      <c r="I5" s="1" t="s">
        <v>7</v>
      </c>
    </row>
    <row r="6" spans="1:9" ht="12.75" customHeight="1" x14ac:dyDescent="0.2">
      <c r="A6" s="36">
        <v>46000</v>
      </c>
      <c r="B6" s="43" t="s">
        <v>13</v>
      </c>
      <c r="C6" s="44"/>
      <c r="D6" s="6">
        <v>1</v>
      </c>
    </row>
    <row r="7" spans="1:9" x14ac:dyDescent="0.2">
      <c r="A7" s="18"/>
      <c r="B7" s="21" t="s">
        <v>14</v>
      </c>
      <c r="C7" s="22"/>
      <c r="D7" s="7">
        <v>2</v>
      </c>
    </row>
    <row r="8" spans="1:9" x14ac:dyDescent="0.2">
      <c r="A8" s="18"/>
      <c r="B8" s="21" t="s">
        <v>15</v>
      </c>
      <c r="C8" s="22"/>
      <c r="D8" s="7">
        <v>1</v>
      </c>
    </row>
    <row r="9" spans="1:9" x14ac:dyDescent="0.2">
      <c r="A9" s="18"/>
      <c r="B9" s="2"/>
      <c r="C9" s="3" t="s">
        <v>8</v>
      </c>
      <c r="D9" s="8">
        <f>SUM(D6:D8)</f>
        <v>4</v>
      </c>
    </row>
    <row r="10" spans="1:9" x14ac:dyDescent="0.2">
      <c r="A10" s="23" t="s">
        <v>9</v>
      </c>
      <c r="B10" s="24"/>
      <c r="C10" s="10" t="s">
        <v>10</v>
      </c>
      <c r="D10" s="11">
        <f>SUM(D6:D8)</f>
        <v>4</v>
      </c>
    </row>
    <row r="11" spans="1:9" ht="63" customHeight="1" x14ac:dyDescent="0.2">
      <c r="A11" s="28" t="s">
        <v>16</v>
      </c>
      <c r="B11" s="29"/>
      <c r="C11" s="29"/>
      <c r="D11" s="30"/>
    </row>
    <row r="12" spans="1:9" ht="12.75" customHeight="1" x14ac:dyDescent="0.2">
      <c r="A12" s="18">
        <v>46006</v>
      </c>
      <c r="B12" s="32" t="s">
        <v>18</v>
      </c>
      <c r="C12" s="33"/>
      <c r="D12" s="7">
        <v>2</v>
      </c>
    </row>
    <row r="13" spans="1:9" x14ac:dyDescent="0.2">
      <c r="A13" s="18"/>
      <c r="B13" s="21" t="s">
        <v>19</v>
      </c>
      <c r="C13" s="22"/>
      <c r="D13" s="7">
        <v>2</v>
      </c>
    </row>
    <row r="14" spans="1:9" x14ac:dyDescent="0.2">
      <c r="A14" s="18"/>
      <c r="B14" s="21" t="s">
        <v>22</v>
      </c>
      <c r="C14" s="22"/>
      <c r="D14" s="7">
        <v>2</v>
      </c>
    </row>
    <row r="15" spans="1:9" x14ac:dyDescent="0.2">
      <c r="A15" s="18"/>
      <c r="B15" s="21" t="s">
        <v>21</v>
      </c>
      <c r="C15" s="22"/>
      <c r="D15" s="7">
        <v>1</v>
      </c>
    </row>
    <row r="16" spans="1:9" x14ac:dyDescent="0.2">
      <c r="A16" s="18"/>
      <c r="B16" s="34" t="s">
        <v>20</v>
      </c>
      <c r="C16" s="35"/>
      <c r="D16" s="7">
        <v>1</v>
      </c>
    </row>
    <row r="17" spans="1:4" x14ac:dyDescent="0.2">
      <c r="A17" s="18"/>
      <c r="B17" s="2"/>
      <c r="C17" s="3" t="s">
        <v>8</v>
      </c>
      <c r="D17" s="8">
        <f>SUM(D12:D16)</f>
        <v>8</v>
      </c>
    </row>
    <row r="18" spans="1:4" ht="12.75" customHeight="1" x14ac:dyDescent="0.2">
      <c r="A18" s="17">
        <v>45997</v>
      </c>
      <c r="B18" s="46" t="s">
        <v>23</v>
      </c>
      <c r="C18" s="47"/>
      <c r="D18" s="6">
        <v>1</v>
      </c>
    </row>
    <row r="19" spans="1:4" x14ac:dyDescent="0.2">
      <c r="A19" s="18"/>
      <c r="B19" s="48" t="s">
        <v>24</v>
      </c>
      <c r="C19" s="49"/>
      <c r="D19" s="7">
        <v>2</v>
      </c>
    </row>
    <row r="20" spans="1:4" x14ac:dyDescent="0.2">
      <c r="A20" s="18"/>
      <c r="B20" s="50" t="s">
        <v>25</v>
      </c>
      <c r="C20" s="51"/>
      <c r="D20" s="7">
        <v>1</v>
      </c>
    </row>
    <row r="21" spans="1:4" x14ac:dyDescent="0.2">
      <c r="A21" s="18"/>
      <c r="B21" s="2"/>
      <c r="C21" s="3" t="s">
        <v>8</v>
      </c>
      <c r="D21" s="8">
        <f>SUM(D18:D20)</f>
        <v>4</v>
      </c>
    </row>
    <row r="22" spans="1:4" ht="12.75" customHeight="1" x14ac:dyDescent="0.2">
      <c r="A22" s="17">
        <v>46000</v>
      </c>
      <c r="B22" s="19"/>
      <c r="C22" s="20"/>
      <c r="D22" s="6"/>
    </row>
    <row r="23" spans="1:4" x14ac:dyDescent="0.2">
      <c r="A23" s="18"/>
      <c r="B23" s="21"/>
      <c r="C23" s="22"/>
      <c r="D23" s="7"/>
    </row>
    <row r="24" spans="1:4" x14ac:dyDescent="0.2">
      <c r="A24" s="18"/>
      <c r="B24" s="21"/>
      <c r="C24" s="22"/>
      <c r="D24" s="7"/>
    </row>
    <row r="25" spans="1:4" x14ac:dyDescent="0.2">
      <c r="A25" s="18"/>
      <c r="B25" s="2"/>
      <c r="C25" s="3" t="s">
        <v>8</v>
      </c>
      <c r="D25" s="8">
        <f>SUM(D22:D24)</f>
        <v>0</v>
      </c>
    </row>
    <row r="26" spans="1:4" x14ac:dyDescent="0.2">
      <c r="A26" s="23" t="s">
        <v>9</v>
      </c>
      <c r="B26" s="24"/>
      <c r="C26" s="10" t="s">
        <v>10</v>
      </c>
      <c r="D26" s="11">
        <f>SUM(D17,D21,D25)</f>
        <v>12</v>
      </c>
    </row>
    <row r="27" spans="1:4" ht="63" customHeight="1" x14ac:dyDescent="0.2">
      <c r="A27" s="28"/>
      <c r="B27" s="29"/>
      <c r="C27" s="29"/>
      <c r="D27" s="30"/>
    </row>
    <row r="28" spans="1:4" ht="12.75" customHeight="1" x14ac:dyDescent="0.2">
      <c r="A28" s="31">
        <v>46006</v>
      </c>
      <c r="B28" s="19"/>
      <c r="C28" s="20"/>
      <c r="D28" s="7"/>
    </row>
    <row r="29" spans="1:4" x14ac:dyDescent="0.2">
      <c r="A29" s="18"/>
      <c r="B29" s="21"/>
      <c r="C29" s="22"/>
      <c r="D29" s="7"/>
    </row>
    <row r="30" spans="1:4" x14ac:dyDescent="0.2">
      <c r="A30" s="18"/>
      <c r="B30" s="21"/>
      <c r="C30" s="22"/>
      <c r="D30" s="7"/>
    </row>
    <row r="31" spans="1:4" x14ac:dyDescent="0.2">
      <c r="A31" s="18"/>
      <c r="B31" s="2"/>
      <c r="C31" s="3" t="s">
        <v>8</v>
      </c>
      <c r="D31" s="8">
        <f>SUM(D28:D30)</f>
        <v>0</v>
      </c>
    </row>
    <row r="32" spans="1:4" ht="12.75" customHeight="1" x14ac:dyDescent="0.2">
      <c r="A32" s="17">
        <v>46006</v>
      </c>
      <c r="B32" s="19"/>
      <c r="C32" s="20"/>
      <c r="D32" s="6"/>
    </row>
    <row r="33" spans="1:4" x14ac:dyDescent="0.2">
      <c r="A33" s="18"/>
      <c r="B33" s="21"/>
      <c r="C33" s="22"/>
      <c r="D33" s="7"/>
    </row>
    <row r="34" spans="1:4" x14ac:dyDescent="0.2">
      <c r="A34" s="18"/>
      <c r="B34" s="21"/>
      <c r="C34" s="22"/>
      <c r="D34" s="7"/>
    </row>
    <row r="35" spans="1:4" x14ac:dyDescent="0.2">
      <c r="A35" s="18"/>
      <c r="B35" s="2"/>
      <c r="C35" s="3" t="s">
        <v>8</v>
      </c>
      <c r="D35" s="8">
        <f>SUM(D32:D34)</f>
        <v>0</v>
      </c>
    </row>
    <row r="36" spans="1:4" ht="12.75" customHeight="1" x14ac:dyDescent="0.2">
      <c r="A36" s="17">
        <v>46007</v>
      </c>
      <c r="B36" s="19"/>
      <c r="C36" s="20"/>
      <c r="D36" s="6"/>
    </row>
    <row r="37" spans="1:4" x14ac:dyDescent="0.2">
      <c r="A37" s="18"/>
      <c r="B37" s="21"/>
      <c r="C37" s="22"/>
      <c r="D37" s="7"/>
    </row>
    <row r="38" spans="1:4" x14ac:dyDescent="0.2">
      <c r="A38" s="18"/>
      <c r="B38" s="21"/>
      <c r="C38" s="22"/>
      <c r="D38" s="7"/>
    </row>
    <row r="39" spans="1:4" x14ac:dyDescent="0.2">
      <c r="A39" s="18"/>
      <c r="B39" s="2"/>
      <c r="C39" s="3" t="s">
        <v>8</v>
      </c>
      <c r="D39" s="8">
        <f>SUM(D36:D38)</f>
        <v>0</v>
      </c>
    </row>
    <row r="40" spans="1:4" x14ac:dyDescent="0.2">
      <c r="A40" s="23" t="s">
        <v>9</v>
      </c>
      <c r="B40" s="24"/>
      <c r="C40" s="10" t="s">
        <v>10</v>
      </c>
      <c r="D40" s="11">
        <f>SUM(D31,D35,D39)</f>
        <v>0</v>
      </c>
    </row>
    <row r="41" spans="1:4" ht="63" customHeight="1" x14ac:dyDescent="0.2">
      <c r="A41" s="28"/>
      <c r="B41" s="29"/>
      <c r="C41" s="29"/>
      <c r="D41" s="30"/>
    </row>
    <row r="42" spans="1:4" ht="12.75" customHeight="1" x14ac:dyDescent="0.2">
      <c r="A42" s="18">
        <v>45662</v>
      </c>
      <c r="B42" s="19"/>
      <c r="C42" s="20"/>
      <c r="D42" s="7"/>
    </row>
    <row r="43" spans="1:4" x14ac:dyDescent="0.2">
      <c r="A43" s="18"/>
      <c r="B43" s="21"/>
      <c r="C43" s="22"/>
      <c r="D43" s="7"/>
    </row>
    <row r="44" spans="1:4" x14ac:dyDescent="0.2">
      <c r="A44" s="18"/>
      <c r="B44" s="21"/>
      <c r="C44" s="22"/>
      <c r="D44" s="7"/>
    </row>
    <row r="45" spans="1:4" x14ac:dyDescent="0.2">
      <c r="A45" s="18"/>
      <c r="B45" s="2"/>
      <c r="C45" s="3" t="s">
        <v>8</v>
      </c>
      <c r="D45" s="8">
        <f>SUM(D42:D44)</f>
        <v>0</v>
      </c>
    </row>
    <row r="46" spans="1:4" x14ac:dyDescent="0.2">
      <c r="A46" s="17">
        <v>45662</v>
      </c>
      <c r="B46" s="19"/>
      <c r="C46" s="20"/>
      <c r="D46" s="6"/>
    </row>
    <row r="47" spans="1:4" x14ac:dyDescent="0.2">
      <c r="A47" s="18"/>
      <c r="B47" s="21"/>
      <c r="C47" s="22"/>
      <c r="D47" s="7"/>
    </row>
    <row r="48" spans="1:4" x14ac:dyDescent="0.2">
      <c r="A48" s="18"/>
      <c r="B48" s="21"/>
      <c r="C48" s="22"/>
      <c r="D48" s="7"/>
    </row>
    <row r="49" spans="1:4" x14ac:dyDescent="0.2">
      <c r="A49" s="18"/>
      <c r="B49" s="2"/>
      <c r="C49" s="3" t="s">
        <v>8</v>
      </c>
      <c r="D49" s="8">
        <f>SUM(D46:D48)</f>
        <v>0</v>
      </c>
    </row>
    <row r="50" spans="1:4" ht="12.75" customHeight="1" x14ac:dyDescent="0.2">
      <c r="A50" s="17">
        <v>45663</v>
      </c>
      <c r="B50" s="19"/>
      <c r="C50" s="20"/>
      <c r="D50" s="6"/>
    </row>
    <row r="51" spans="1:4" x14ac:dyDescent="0.2">
      <c r="A51" s="18"/>
      <c r="B51" s="21"/>
      <c r="C51" s="22"/>
      <c r="D51" s="7"/>
    </row>
    <row r="52" spans="1:4" x14ac:dyDescent="0.2">
      <c r="A52" s="18"/>
      <c r="B52" s="21"/>
      <c r="C52" s="22"/>
      <c r="D52" s="7"/>
    </row>
    <row r="53" spans="1:4" x14ac:dyDescent="0.2">
      <c r="A53" s="18"/>
      <c r="B53" s="2"/>
      <c r="C53" s="3" t="s">
        <v>8</v>
      </c>
      <c r="D53" s="8">
        <f>SUM(D50:D52)</f>
        <v>0</v>
      </c>
    </row>
    <row r="54" spans="1:4" x14ac:dyDescent="0.2">
      <c r="A54" s="23" t="s">
        <v>9</v>
      </c>
      <c r="B54" s="24"/>
      <c r="C54" s="10" t="s">
        <v>10</v>
      </c>
      <c r="D54" s="11">
        <f>SUM(D45,D49,D53)</f>
        <v>0</v>
      </c>
    </row>
    <row r="55" spans="1:4" ht="64.5" customHeight="1" x14ac:dyDescent="0.2">
      <c r="A55" s="25"/>
      <c r="B55" s="26"/>
      <c r="C55" s="26"/>
      <c r="D55" s="27"/>
    </row>
    <row r="56" spans="1:4" x14ac:dyDescent="0.2">
      <c r="A56" s="18">
        <v>45669</v>
      </c>
      <c r="B56" s="21"/>
      <c r="C56" s="22"/>
      <c r="D56" s="7"/>
    </row>
    <row r="57" spans="1:4" x14ac:dyDescent="0.2">
      <c r="A57" s="18"/>
      <c r="B57" s="21"/>
      <c r="C57" s="22"/>
      <c r="D57" s="7"/>
    </row>
    <row r="58" spans="1:4" x14ac:dyDescent="0.2">
      <c r="A58" s="18"/>
      <c r="B58" s="21"/>
      <c r="C58" s="22"/>
      <c r="D58" s="7"/>
    </row>
    <row r="59" spans="1:4" x14ac:dyDescent="0.2">
      <c r="A59" s="18"/>
      <c r="B59" s="2"/>
      <c r="C59" s="3" t="s">
        <v>8</v>
      </c>
      <c r="D59" s="8">
        <f>SUM(D56:D58)</f>
        <v>0</v>
      </c>
    </row>
    <row r="60" spans="1:4" x14ac:dyDescent="0.2">
      <c r="A60" s="17">
        <v>45669</v>
      </c>
      <c r="B60" s="19"/>
      <c r="C60" s="20"/>
      <c r="D60" s="6"/>
    </row>
    <row r="61" spans="1:4" x14ac:dyDescent="0.2">
      <c r="A61" s="18"/>
      <c r="B61" s="21"/>
      <c r="C61" s="22"/>
      <c r="D61" s="7"/>
    </row>
    <row r="62" spans="1:4" x14ac:dyDescent="0.2">
      <c r="A62" s="18"/>
      <c r="B62" s="21"/>
      <c r="C62" s="22"/>
      <c r="D62" s="7"/>
    </row>
    <row r="63" spans="1:4" x14ac:dyDescent="0.2">
      <c r="A63" s="18"/>
      <c r="B63" s="2"/>
      <c r="C63" s="3" t="s">
        <v>8</v>
      </c>
      <c r="D63" s="8">
        <f>SUM(D60:D62)</f>
        <v>0</v>
      </c>
    </row>
    <row r="64" spans="1:4" x14ac:dyDescent="0.2">
      <c r="A64" s="17">
        <v>45670</v>
      </c>
      <c r="B64" s="19"/>
      <c r="C64" s="20"/>
      <c r="D64" s="6"/>
    </row>
    <row r="65" spans="1:4" x14ac:dyDescent="0.2">
      <c r="A65" s="18"/>
      <c r="B65" s="21"/>
      <c r="C65" s="22"/>
      <c r="D65" s="7"/>
    </row>
    <row r="66" spans="1:4" x14ac:dyDescent="0.2">
      <c r="A66" s="18"/>
      <c r="B66" s="21"/>
      <c r="C66" s="22"/>
      <c r="D66" s="7"/>
    </row>
    <row r="67" spans="1:4" x14ac:dyDescent="0.2">
      <c r="A67" s="18"/>
      <c r="B67" s="2"/>
      <c r="C67" s="3" t="s">
        <v>8</v>
      </c>
      <c r="D67" s="8">
        <f>SUM(D64:D66)</f>
        <v>0</v>
      </c>
    </row>
    <row r="68" spans="1:4" x14ac:dyDescent="0.2">
      <c r="A68" s="23" t="s">
        <v>9</v>
      </c>
      <c r="B68" s="24"/>
      <c r="C68" s="10" t="s">
        <v>10</v>
      </c>
      <c r="D68" s="11">
        <f>SUM(D59,D63,D67)</f>
        <v>0</v>
      </c>
    </row>
    <row r="70" spans="1:4" x14ac:dyDescent="0.2">
      <c r="C70" s="12" t="s">
        <v>11</v>
      </c>
      <c r="D70" s="9">
        <f>D10+D26+D40+D54+D68</f>
        <v>16</v>
      </c>
    </row>
  </sheetData>
  <mergeCells count="67">
    <mergeCell ref="B7:C7"/>
    <mergeCell ref="B8:C8"/>
    <mergeCell ref="A6:A9"/>
    <mergeCell ref="A1:D1"/>
    <mergeCell ref="B4:C5"/>
    <mergeCell ref="B6:C6"/>
    <mergeCell ref="A4:A5"/>
    <mergeCell ref="A2:D2"/>
    <mergeCell ref="B36:C36"/>
    <mergeCell ref="B37:C37"/>
    <mergeCell ref="B38:C38"/>
    <mergeCell ref="A36:A39"/>
    <mergeCell ref="B28:C28"/>
    <mergeCell ref="B29:C29"/>
    <mergeCell ref="B30:C30"/>
    <mergeCell ref="A10:B10"/>
    <mergeCell ref="A11:D11"/>
    <mergeCell ref="A12:A17"/>
    <mergeCell ref="A18:A21"/>
    <mergeCell ref="B12:C12"/>
    <mergeCell ref="B13:C13"/>
    <mergeCell ref="B16:C16"/>
    <mergeCell ref="B15:C15"/>
    <mergeCell ref="B14:C14"/>
    <mergeCell ref="B18:C18"/>
    <mergeCell ref="B19:C19"/>
    <mergeCell ref="B20:C20"/>
    <mergeCell ref="A22:A25"/>
    <mergeCell ref="B22:C22"/>
    <mergeCell ref="B23:C23"/>
    <mergeCell ref="B24:C24"/>
    <mergeCell ref="A27:D27"/>
    <mergeCell ref="A26:B26"/>
    <mergeCell ref="A28:A31"/>
    <mergeCell ref="A32:A35"/>
    <mergeCell ref="B32:C32"/>
    <mergeCell ref="B33:C33"/>
    <mergeCell ref="B34:C34"/>
    <mergeCell ref="A40:B40"/>
    <mergeCell ref="A41:D41"/>
    <mergeCell ref="A42:A45"/>
    <mergeCell ref="B42:C42"/>
    <mergeCell ref="B43:C43"/>
    <mergeCell ref="B44:C44"/>
    <mergeCell ref="A54:B54"/>
    <mergeCell ref="A55:D55"/>
    <mergeCell ref="A46:A49"/>
    <mergeCell ref="B46:C46"/>
    <mergeCell ref="B47:C47"/>
    <mergeCell ref="B48:C48"/>
    <mergeCell ref="A50:A53"/>
    <mergeCell ref="B50:C50"/>
    <mergeCell ref="B51:C51"/>
    <mergeCell ref="B52:C52"/>
    <mergeCell ref="A56:A59"/>
    <mergeCell ref="B57:C57"/>
    <mergeCell ref="A60:A63"/>
    <mergeCell ref="B61:C61"/>
    <mergeCell ref="B62:C62"/>
    <mergeCell ref="B56:C56"/>
    <mergeCell ref="B58:C58"/>
    <mergeCell ref="B60:C60"/>
    <mergeCell ref="A64:A67"/>
    <mergeCell ref="B64:C64"/>
    <mergeCell ref="B65:C65"/>
    <mergeCell ref="B66:C66"/>
    <mergeCell ref="A68:B68"/>
  </mergeCells>
  <conditionalFormatting sqref="D6:D9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2:D25">
    <cfRule type="containsText" dxfId="9" priority="7" operator="containsText" text="Terminé">
      <formula>NOT(ISERROR(SEARCH("Terminé",D12)))</formula>
    </cfRule>
    <cfRule type="containsText" dxfId="8" priority="8" operator="containsText" text="En cours">
      <formula>NOT(ISERROR(SEARCH("En cours",D12)))</formula>
    </cfRule>
  </conditionalFormatting>
  <conditionalFormatting sqref="D28:D39">
    <cfRule type="containsText" dxfId="7" priority="5" operator="containsText" text="Terminé">
      <formula>NOT(ISERROR(SEARCH("Terminé",D28)))</formula>
    </cfRule>
    <cfRule type="containsText" dxfId="6" priority="6" operator="containsText" text="En cours">
      <formula>NOT(ISERROR(SEARCH("En cours",D28)))</formula>
    </cfRule>
  </conditionalFormatting>
  <conditionalFormatting sqref="D42:D53">
    <cfRule type="containsText" dxfId="5" priority="3" operator="containsText" text="Terminé">
      <formula>NOT(ISERROR(SEARCH("Terminé",D42)))</formula>
    </cfRule>
    <cfRule type="containsText" dxfId="4" priority="4" operator="containsText" text="En cours">
      <formula>NOT(ISERROR(SEARCH("En cours",D42)))</formula>
    </cfRule>
  </conditionalFormatting>
  <conditionalFormatting sqref="D56:D67">
    <cfRule type="containsText" dxfId="3" priority="1" operator="containsText" text="Terminé">
      <formula>NOT(ISERROR(SEARCH("Terminé",D56)))</formula>
    </cfRule>
    <cfRule type="containsText" dxfId="2" priority="2" operator="containsText" text="En cours">
      <formula>NOT(ISERROR(SEARCH("En cours",D56)))</formula>
    </cfRule>
  </conditionalFormatting>
  <conditionalFormatting sqref="D70">
    <cfRule type="containsText" dxfId="1" priority="9" operator="containsText" text="Terminé">
      <formula>NOT(ISERROR(SEARCH("Terminé",D70)))</formula>
    </cfRule>
    <cfRule type="containsText" dxfId="0" priority="10" operator="containsText" text="En cours">
      <formula>NOT(ISERROR(SEARCH("En cours",D70)))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7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5cbbe46b-cb1d-4e56-8c99-5e3dbfb293e5"/>
    <ds:schemaRef ds:uri="32d4d717-cd3a-4b3d-8168-24cfd96cd6ea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2025-12-16T10:42:54Z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