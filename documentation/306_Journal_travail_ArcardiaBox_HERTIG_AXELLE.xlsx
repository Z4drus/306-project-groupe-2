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\\stu.net.fr.ch\perso$\Users\HertigA01\Downloads\"/>
    </mc:Choice>
  </mc:AlternateContent>
  <xr:revisionPtr revIDLastSave="0" documentId="13_ncr:1_{FA8497FC-2455-4981-A889-A1F090CE5D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ournal" sheetId="8" r:id="rId1"/>
  </sheets>
  <definedNames>
    <definedName name="_xlnm.Print_Titles" localSheetId="0">Journal!$B:$D,Journal!$1:$5</definedName>
    <definedName name="_xlnm.Print_Area" localSheetId="0">Journal!$A$1:$D$50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8" l="1"/>
  <c r="D23" i="8"/>
  <c r="D24" i="8"/>
  <c r="D30" i="8"/>
  <c r="D34" i="8"/>
  <c r="D35" i="8"/>
  <c r="D8" i="8"/>
  <c r="D12" i="8"/>
  <c r="D13" i="8"/>
  <c r="D44" i="8"/>
  <c r="D48" i="8"/>
  <c r="D40" i="8"/>
  <c r="D62" i="8"/>
  <c r="D54" i="8"/>
  <c r="D58" i="8"/>
  <c r="D63" i="8"/>
  <c r="D49" i="8"/>
  <c r="D65" i="8"/>
</calcChain>
</file>

<file path=xl/sharedStrings.xml><?xml version="1.0" encoding="utf-8"?>
<sst xmlns="http://schemas.openxmlformats.org/spreadsheetml/2006/main" count="53" uniqueCount="34">
  <si>
    <t>Gremaud Valentin</t>
  </si>
  <si>
    <t>Problème</t>
  </si>
  <si>
    <t>Solution</t>
  </si>
  <si>
    <t>Date</t>
  </si>
  <si>
    <t>Travail effectué</t>
  </si>
  <si>
    <t>Temps</t>
  </si>
  <si>
    <t>Absence</t>
  </si>
  <si>
    <t>[H.h]</t>
  </si>
  <si>
    <t>Rencontre</t>
  </si>
  <si>
    <t>Total &gt;</t>
  </si>
  <si>
    <r>
      <t xml:space="preserve">Réflexion personnelle hebdomadaire </t>
    </r>
    <r>
      <rPr>
        <sz val="8"/>
        <rFont val="Calibri"/>
        <family val="2"/>
      </rPr>
      <t>↓↓↓</t>
    </r>
  </si>
  <si>
    <t>Total de la semaine &gt;</t>
  </si>
  <si>
    <t>Total général &gt;</t>
  </si>
  <si>
    <r>
      <t>Projet :</t>
    </r>
    <r>
      <rPr>
        <b/>
        <sz val="14"/>
        <color rgb="FF000000"/>
        <rFont val="Arial"/>
        <family val="2"/>
      </rPr>
      <t xml:space="preserve"> ArcadiaBox</t>
    </r>
  </si>
  <si>
    <t>Férié</t>
  </si>
  <si>
    <t>Lecture du cahier des charges</t>
  </si>
  <si>
    <t>Documentation initiale</t>
  </si>
  <si>
    <t>Creation du planning</t>
  </si>
  <si>
    <t>mise en place du Kanban avec les taches</t>
  </si>
  <si>
    <t>Comme c’est le début du projet, il y a eu beaucoup de mise en place de documents à remplir, et pas forcément de travail concret. C’était un peu long, mais primordial pour avoir une vision claire du projet.</t>
  </si>
  <si>
    <t>Mise en place des fichier scrum</t>
  </si>
  <si>
    <t xml:space="preserve">Creation du diagramme de séqences </t>
  </si>
  <si>
    <t>création des maquettes</t>
  </si>
  <si>
    <t>code de l'interface</t>
  </si>
  <si>
    <t>Creation du diagramme de classe</t>
  </si>
  <si>
    <t>J’ai bien travaillé. Il reste encore beaucoup de diagrammes à réaliser, mais nous commençons doucement à coder.</t>
  </si>
  <si>
    <t>Code jeu 1 aide noe</t>
  </si>
  <si>
    <t>test GamePad</t>
  </si>
  <si>
    <t>modif scrum + planning</t>
  </si>
  <si>
    <t>Creation et mise en place de la DB</t>
  </si>
  <si>
    <t>Test des fonctionnalité /amélioration</t>
  </si>
  <si>
    <t>Documentation</t>
  </si>
  <si>
    <t>Documentation Scrum</t>
  </si>
  <si>
    <t>Le projet avance bien, j'ai bien travailler.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</si>
</sst>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15" xfId="0" applyFont="1" applyFill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5" fontId="2" fillId="0" borderId="6" xfId="0" applyNumberFormat="1" applyFont="1" applyBorder="1" applyAlignment="1" applyProtection="1">
      <alignment horizontal="center" vertical="center"/>
      <protection locked="0"/>
    </xf>
    <xf numFmtId="165" fontId="2" fillId="0" borderId="4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right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right" vertical="center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 applyProtection="1">
      <alignment horizontal="left" vertical="center"/>
      <protection locked="0"/>
    </xf>
    <xf numFmtId="164" fontId="0" fillId="0" borderId="11" xfId="0" applyNumberFormat="1" applyBorder="1" applyAlignment="1" applyProtection="1">
      <alignment horizontal="left" vertical="center"/>
      <protection locked="0"/>
    </xf>
    <xf numFmtId="164" fontId="0" fillId="0" borderId="16" xfId="0" applyNumberFormat="1" applyBorder="1" applyAlignment="1" applyProtection="1">
      <alignment horizontal="left" vertical="center"/>
      <protection locked="0"/>
    </xf>
    <xf numFmtId="164" fontId="0" fillId="0" borderId="14" xfId="0" applyNumberFormat="1" applyBorder="1" applyAlignment="1" applyProtection="1">
      <alignment horizontal="left" vertical="center"/>
      <protection locked="0"/>
    </xf>
    <xf numFmtId="164" fontId="0" fillId="0" borderId="17" xfId="0" applyNumberFormat="1" applyBorder="1" applyAlignment="1" applyProtection="1">
      <alignment horizontal="left" vertical="center"/>
      <protection locked="0"/>
    </xf>
    <xf numFmtId="164" fontId="0" fillId="0" borderId="19" xfId="0" applyNumberFormat="1" applyBorder="1" applyAlignment="1" applyProtection="1">
      <alignment horizontal="left" vertical="center"/>
      <protection locked="0"/>
    </xf>
    <xf numFmtId="164" fontId="0" fillId="0" borderId="18" xfId="0" applyNumberFormat="1" applyBorder="1" applyAlignment="1" applyProtection="1">
      <alignment horizontal="left" vertical="center"/>
      <protection locked="0"/>
    </xf>
    <xf numFmtId="164" fontId="10" fillId="0" borderId="17" xfId="0" applyNumberFormat="1" applyFont="1" applyBorder="1" applyAlignment="1" applyProtection="1">
      <alignment horizontal="left" vertical="center"/>
      <protection locked="0"/>
    </xf>
    <xf numFmtId="164" fontId="10" fillId="0" borderId="4" xfId="0" applyNumberFormat="1" applyFont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15" xfId="0" applyFont="1" applyFill="1" applyBorder="1" applyAlignment="1" applyProtection="1">
      <alignment horizontal="center" vertical="center"/>
      <protection locked="0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11" xfId="0" applyFont="1" applyFill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5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  <xf numFmtId="0" fontId="2" fillId="0" borderId="10" xfId="0" applyFont="1" applyFill="1" applyBorder="1" applyAlignment="1" applyProtection="1">
      <alignment horizontal="left" vertical="center"/>
      <protection locked="0"/>
    </xf>
    <xf numFmtId="0" fontId="2" fillId="0" borderId="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8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00A4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="150" zoomScaleNormal="115" zoomScaleSheetLayoutView="115" workbookViewId="0">
      <pane xSplit="4" ySplit="5" topLeftCell="E6" activePane="bottomRight" state="frozenSplit"/>
      <selection pane="topRight" activeCell="K1" sqref="K1"/>
      <selection pane="bottomLeft" activeCell="A13" sqref="A13"/>
      <selection pane="bottomRight" activeCell="E8" sqref="E8"/>
    </sheetView>
  </sheetViews>
  <sheetFormatPr baseColWidth="10" defaultColWidth="11.42578125" defaultRowHeight="12.75" x14ac:dyDescent="0.2"/>
  <cols>
    <col min="1" max="1" width="11.42578125" style="1"/>
    <col min="2" max="2" width="31.7109375" style="1" customWidth="1"/>
    <col min="3" max="3" width="36.7109375" style="1" customWidth="1"/>
    <col min="4" max="4" width="11.42578125" style="1" customWidth="1"/>
    <col min="5" max="7" width="9.140625" style="1" customWidth="1"/>
    <col min="8" max="8" width="4.42578125" style="1" customWidth="1"/>
    <col min="9" max="9" width="10.85546875" style="1" customWidth="1"/>
    <col min="10" max="217" width="9.140625" style="1" customWidth="1"/>
    <col min="218" max="16384" width="11.42578125" style="1"/>
  </cols>
  <sheetData>
    <row r="1" spans="1:9" ht="20.25" x14ac:dyDescent="0.3">
      <c r="A1" s="41" t="s">
        <v>13</v>
      </c>
      <c r="B1" s="42"/>
      <c r="C1" s="42"/>
      <c r="D1" s="42"/>
    </row>
    <row r="2" spans="1:9" ht="18" x14ac:dyDescent="0.25">
      <c r="A2" s="49" t="s">
        <v>0</v>
      </c>
      <c r="B2" s="49"/>
      <c r="C2" s="49"/>
      <c r="D2" s="49"/>
      <c r="H2" s="15"/>
      <c r="I2" s="1" t="s">
        <v>1</v>
      </c>
    </row>
    <row r="3" spans="1:9" x14ac:dyDescent="0.2">
      <c r="H3" s="16"/>
      <c r="I3" s="1" t="s">
        <v>2</v>
      </c>
    </row>
    <row r="4" spans="1:9" ht="12" customHeight="1" x14ac:dyDescent="0.2">
      <c r="A4" s="43" t="s">
        <v>3</v>
      </c>
      <c r="B4" s="43" t="s">
        <v>4</v>
      </c>
      <c r="C4" s="44"/>
      <c r="D4" s="4" t="s">
        <v>5</v>
      </c>
      <c r="H4" s="14"/>
      <c r="I4" s="1" t="s">
        <v>6</v>
      </c>
    </row>
    <row r="5" spans="1:9" ht="13.5" thickBot="1" x14ac:dyDescent="0.25">
      <c r="A5" s="45"/>
      <c r="B5" s="45"/>
      <c r="C5" s="46"/>
      <c r="D5" s="5" t="s">
        <v>7</v>
      </c>
      <c r="H5" s="13"/>
      <c r="I5" s="1" t="s">
        <v>8</v>
      </c>
    </row>
    <row r="6" spans="1:9" ht="12.75" customHeight="1" x14ac:dyDescent="0.2">
      <c r="A6" s="50">
        <v>45992</v>
      </c>
      <c r="B6" s="47" t="s">
        <v>15</v>
      </c>
      <c r="C6" s="48"/>
      <c r="D6" s="6">
        <v>2</v>
      </c>
    </row>
    <row r="7" spans="1:9" x14ac:dyDescent="0.2">
      <c r="A7" s="20"/>
      <c r="B7" s="23" t="s">
        <v>17</v>
      </c>
      <c r="C7" s="24"/>
      <c r="D7" s="7">
        <v>4</v>
      </c>
    </row>
    <row r="8" spans="1:9" x14ac:dyDescent="0.2">
      <c r="A8" s="20"/>
      <c r="B8" s="2"/>
      <c r="C8" s="3" t="s">
        <v>9</v>
      </c>
      <c r="D8" s="8">
        <f>SUM(D6:D7)</f>
        <v>6</v>
      </c>
    </row>
    <row r="9" spans="1:9" ht="12.75" customHeight="1" x14ac:dyDescent="0.2">
      <c r="A9" s="19">
        <v>45993</v>
      </c>
      <c r="B9" s="21" t="s">
        <v>16</v>
      </c>
      <c r="C9" s="22"/>
      <c r="D9" s="6">
        <v>2</v>
      </c>
    </row>
    <row r="10" spans="1:9" ht="12.75" customHeight="1" x14ac:dyDescent="0.2">
      <c r="A10" s="20"/>
      <c r="B10" s="51" t="s">
        <v>20</v>
      </c>
      <c r="C10" s="52"/>
      <c r="D10" s="6">
        <v>2</v>
      </c>
    </row>
    <row r="11" spans="1:9" ht="12.75" customHeight="1" x14ac:dyDescent="0.2">
      <c r="A11" s="20"/>
      <c r="B11" s="51" t="s">
        <v>18</v>
      </c>
      <c r="C11" s="52"/>
      <c r="D11" s="6">
        <v>2</v>
      </c>
    </row>
    <row r="12" spans="1:9" x14ac:dyDescent="0.2">
      <c r="A12" s="20"/>
      <c r="B12" s="2"/>
      <c r="C12" s="3" t="s">
        <v>9</v>
      </c>
      <c r="D12" s="8">
        <f>SUM(D9:D9)</f>
        <v>2</v>
      </c>
    </row>
    <row r="13" spans="1:9" x14ac:dyDescent="0.2">
      <c r="A13" s="25" t="s">
        <v>10</v>
      </c>
      <c r="B13" s="26"/>
      <c r="C13" s="10" t="s">
        <v>11</v>
      </c>
      <c r="D13" s="11">
        <f>SUM(D8,D12)</f>
        <v>8</v>
      </c>
    </row>
    <row r="14" spans="1:9" ht="63" customHeight="1" x14ac:dyDescent="0.2">
      <c r="A14" s="33" t="s">
        <v>19</v>
      </c>
      <c r="B14" s="31"/>
      <c r="C14" s="31"/>
      <c r="D14" s="32"/>
    </row>
    <row r="15" spans="1:9" ht="12.75" customHeight="1" x14ac:dyDescent="0.2">
      <c r="A15" s="20">
        <v>45999</v>
      </c>
      <c r="B15" s="35" t="s">
        <v>14</v>
      </c>
      <c r="C15" s="36"/>
      <c r="D15" s="7"/>
    </row>
    <row r="16" spans="1:9" x14ac:dyDescent="0.2">
      <c r="A16" s="20"/>
      <c r="B16" s="37"/>
      <c r="C16" s="38"/>
      <c r="D16" s="7"/>
    </row>
    <row r="17" spans="1:4" x14ac:dyDescent="0.2">
      <c r="A17" s="20"/>
      <c r="B17" s="39"/>
      <c r="C17" s="40"/>
      <c r="D17" s="7"/>
    </row>
    <row r="18" spans="1:4" x14ac:dyDescent="0.2">
      <c r="A18" s="20"/>
      <c r="B18" s="2"/>
      <c r="C18" s="3" t="s">
        <v>9</v>
      </c>
      <c r="D18" s="8">
        <f>SUM(D15:D17)</f>
        <v>0</v>
      </c>
    </row>
    <row r="19" spans="1:4" ht="12.75" customHeight="1" x14ac:dyDescent="0.2">
      <c r="A19" s="19">
        <v>46000</v>
      </c>
      <c r="B19" s="21" t="s">
        <v>21</v>
      </c>
      <c r="C19" s="22"/>
      <c r="D19" s="6">
        <v>2</v>
      </c>
    </row>
    <row r="20" spans="1:4" ht="12.75" customHeight="1" x14ac:dyDescent="0.2">
      <c r="A20" s="20"/>
      <c r="B20" s="23" t="s">
        <v>24</v>
      </c>
      <c r="C20" s="24"/>
      <c r="D20" s="7">
        <v>2</v>
      </c>
    </row>
    <row r="21" spans="1:4" x14ac:dyDescent="0.2">
      <c r="A21" s="20"/>
      <c r="B21" s="53" t="s">
        <v>22</v>
      </c>
      <c r="C21" s="54"/>
      <c r="D21" s="7">
        <v>2</v>
      </c>
    </row>
    <row r="22" spans="1:4" x14ac:dyDescent="0.2">
      <c r="A22" s="20"/>
      <c r="B22" s="23" t="s">
        <v>23</v>
      </c>
      <c r="C22" s="24"/>
      <c r="D22" s="7">
        <v>2</v>
      </c>
    </row>
    <row r="23" spans="1:4" x14ac:dyDescent="0.2">
      <c r="A23" s="20"/>
      <c r="B23" s="2"/>
      <c r="C23" s="3" t="s">
        <v>9</v>
      </c>
      <c r="D23" s="8">
        <f>SUM(D19:D22)</f>
        <v>8</v>
      </c>
    </row>
    <row r="24" spans="1:4" x14ac:dyDescent="0.2">
      <c r="A24" s="25" t="s">
        <v>10</v>
      </c>
      <c r="B24" s="26"/>
      <c r="C24" s="10" t="s">
        <v>11</v>
      </c>
      <c r="D24" s="11">
        <f>SUM(D18,D23)</f>
        <v>8</v>
      </c>
    </row>
    <row r="25" spans="1:4" ht="63" customHeight="1" x14ac:dyDescent="0.2">
      <c r="A25" s="33" t="s">
        <v>25</v>
      </c>
      <c r="B25" s="31"/>
      <c r="C25" s="31"/>
      <c r="D25" s="32"/>
    </row>
    <row r="26" spans="1:4" ht="12.75" customHeight="1" x14ac:dyDescent="0.2">
      <c r="A26" s="34">
        <v>46006</v>
      </c>
      <c r="B26" s="21" t="s">
        <v>26</v>
      </c>
      <c r="C26" s="22"/>
      <c r="D26" s="7">
        <v>2</v>
      </c>
    </row>
    <row r="27" spans="1:4" x14ac:dyDescent="0.2">
      <c r="A27" s="20"/>
      <c r="B27" s="23" t="s">
        <v>27</v>
      </c>
      <c r="C27" s="24"/>
      <c r="D27" s="7">
        <v>2</v>
      </c>
    </row>
    <row r="28" spans="1:4" x14ac:dyDescent="0.2">
      <c r="A28" s="20"/>
      <c r="B28" s="17" t="s">
        <v>29</v>
      </c>
      <c r="C28" s="18"/>
      <c r="D28" s="7">
        <v>2</v>
      </c>
    </row>
    <row r="29" spans="1:4" x14ac:dyDescent="0.2">
      <c r="A29" s="20"/>
      <c r="B29" s="23" t="s">
        <v>28</v>
      </c>
      <c r="C29" s="24"/>
      <c r="D29" s="7">
        <v>1</v>
      </c>
    </row>
    <row r="30" spans="1:4" x14ac:dyDescent="0.2">
      <c r="A30" s="20"/>
      <c r="B30" s="2"/>
      <c r="C30" s="3" t="s">
        <v>9</v>
      </c>
      <c r="D30" s="8">
        <f>SUM(D26:D29)</f>
        <v>7</v>
      </c>
    </row>
    <row r="31" spans="1:4" ht="12.75" customHeight="1" x14ac:dyDescent="0.2">
      <c r="A31" s="19">
        <v>46007</v>
      </c>
      <c r="B31" s="21" t="s">
        <v>30</v>
      </c>
      <c r="C31" s="22"/>
      <c r="D31" s="6">
        <v>2</v>
      </c>
    </row>
    <row r="32" spans="1:4" ht="12.75" customHeight="1" x14ac:dyDescent="0.2">
      <c r="A32" s="20"/>
      <c r="B32" s="23" t="s">
        <v>32</v>
      </c>
      <c r="C32" s="24"/>
      <c r="D32" s="7">
        <v>1</v>
      </c>
    </row>
    <row r="33" spans="1:4" x14ac:dyDescent="0.2">
      <c r="A33" s="20"/>
      <c r="B33" s="23" t="s">
        <v>31</v>
      </c>
      <c r="C33" s="24"/>
      <c r="D33" s="7">
        <v>1</v>
      </c>
    </row>
    <row r="34" spans="1:4" x14ac:dyDescent="0.2">
      <c r="A34" s="20"/>
      <c r="B34" s="2"/>
      <c r="C34" s="3" t="s">
        <v>9</v>
      </c>
      <c r="D34" s="8">
        <f>SUM(D31:D33)</f>
        <v>4</v>
      </c>
    </row>
    <row r="35" spans="1:4" x14ac:dyDescent="0.2">
      <c r="A35" s="25" t="s">
        <v>10</v>
      </c>
      <c r="B35" s="26"/>
      <c r="C35" s="10" t="s">
        <v>11</v>
      </c>
      <c r="D35" s="11">
        <f>SUM(D30,D34)</f>
        <v>11</v>
      </c>
    </row>
    <row r="36" spans="1:4" ht="63" customHeight="1" x14ac:dyDescent="0.2">
      <c r="A36" s="30" t="s">
        <v>33</v>
      </c>
      <c r="B36" s="31"/>
      <c r="C36" s="31"/>
      <c r="D36" s="32"/>
    </row>
    <row r="37" spans="1:4" ht="12.75" customHeight="1" x14ac:dyDescent="0.2">
      <c r="A37" s="20">
        <v>45662</v>
      </c>
      <c r="B37" s="21"/>
      <c r="C37" s="22"/>
      <c r="D37" s="7"/>
    </row>
    <row r="38" spans="1:4" x14ac:dyDescent="0.2">
      <c r="A38" s="20"/>
      <c r="B38" s="23"/>
      <c r="C38" s="24"/>
      <c r="D38" s="7"/>
    </row>
    <row r="39" spans="1:4" x14ac:dyDescent="0.2">
      <c r="A39" s="20"/>
      <c r="B39" s="23"/>
      <c r="C39" s="24"/>
      <c r="D39" s="7"/>
    </row>
    <row r="40" spans="1:4" x14ac:dyDescent="0.2">
      <c r="A40" s="20"/>
      <c r="B40" s="2"/>
      <c r="C40" s="3" t="s">
        <v>9</v>
      </c>
      <c r="D40" s="8">
        <f>SUM(D37:D39)</f>
        <v>0</v>
      </c>
    </row>
    <row r="41" spans="1:4" x14ac:dyDescent="0.2">
      <c r="A41" s="19">
        <v>45662</v>
      </c>
      <c r="B41" s="21"/>
      <c r="C41" s="22"/>
      <c r="D41" s="6"/>
    </row>
    <row r="42" spans="1:4" x14ac:dyDescent="0.2">
      <c r="A42" s="20"/>
      <c r="B42" s="23"/>
      <c r="C42" s="24"/>
      <c r="D42" s="7"/>
    </row>
    <row r="43" spans="1:4" x14ac:dyDescent="0.2">
      <c r="A43" s="20"/>
      <c r="B43" s="23"/>
      <c r="C43" s="24"/>
      <c r="D43" s="7"/>
    </row>
    <row r="44" spans="1:4" x14ac:dyDescent="0.2">
      <c r="A44" s="20"/>
      <c r="B44" s="2"/>
      <c r="C44" s="3" t="s">
        <v>9</v>
      </c>
      <c r="D44" s="8">
        <f>SUM(D41:D43)</f>
        <v>0</v>
      </c>
    </row>
    <row r="45" spans="1:4" ht="12.75" customHeight="1" x14ac:dyDescent="0.2">
      <c r="A45" s="19">
        <v>45663</v>
      </c>
      <c r="B45" s="21"/>
      <c r="C45" s="22"/>
      <c r="D45" s="6"/>
    </row>
    <row r="46" spans="1:4" x14ac:dyDescent="0.2">
      <c r="A46" s="20"/>
      <c r="B46" s="23"/>
      <c r="C46" s="24"/>
      <c r="D46" s="7"/>
    </row>
    <row r="47" spans="1:4" x14ac:dyDescent="0.2">
      <c r="A47" s="20"/>
      <c r="B47" s="23"/>
      <c r="C47" s="24"/>
      <c r="D47" s="7"/>
    </row>
    <row r="48" spans="1:4" x14ac:dyDescent="0.2">
      <c r="A48" s="20"/>
      <c r="B48" s="2"/>
      <c r="C48" s="3" t="s">
        <v>9</v>
      </c>
      <c r="D48" s="8">
        <f>SUM(D45:D47)</f>
        <v>0</v>
      </c>
    </row>
    <row r="49" spans="1:4" x14ac:dyDescent="0.2">
      <c r="A49" s="25" t="s">
        <v>10</v>
      </c>
      <c r="B49" s="26"/>
      <c r="C49" s="10" t="s">
        <v>11</v>
      </c>
      <c r="D49" s="11">
        <f>SUM(D40,D44,D48)</f>
        <v>0</v>
      </c>
    </row>
    <row r="50" spans="1:4" ht="64.5" customHeight="1" x14ac:dyDescent="0.2">
      <c r="A50" s="27"/>
      <c r="B50" s="28"/>
      <c r="C50" s="28"/>
      <c r="D50" s="29"/>
    </row>
    <row r="51" spans="1:4" x14ac:dyDescent="0.2">
      <c r="A51" s="20">
        <v>45669</v>
      </c>
      <c r="B51" s="23"/>
      <c r="C51" s="24"/>
      <c r="D51" s="7"/>
    </row>
    <row r="52" spans="1:4" x14ac:dyDescent="0.2">
      <c r="A52" s="20"/>
      <c r="B52" s="23"/>
      <c r="C52" s="24"/>
      <c r="D52" s="7"/>
    </row>
    <row r="53" spans="1:4" x14ac:dyDescent="0.2">
      <c r="A53" s="20"/>
      <c r="B53" s="23"/>
      <c r="C53" s="24"/>
      <c r="D53" s="7"/>
    </row>
    <row r="54" spans="1:4" x14ac:dyDescent="0.2">
      <c r="A54" s="20"/>
      <c r="B54" s="2"/>
      <c r="C54" s="3" t="s">
        <v>9</v>
      </c>
      <c r="D54" s="8">
        <f>SUM(D51:D53)</f>
        <v>0</v>
      </c>
    </row>
    <row r="55" spans="1:4" x14ac:dyDescent="0.2">
      <c r="A55" s="19">
        <v>45669</v>
      </c>
      <c r="B55" s="21"/>
      <c r="C55" s="22"/>
      <c r="D55" s="6"/>
    </row>
    <row r="56" spans="1:4" x14ac:dyDescent="0.2">
      <c r="A56" s="20"/>
      <c r="B56" s="23"/>
      <c r="C56" s="24"/>
      <c r="D56" s="7"/>
    </row>
    <row r="57" spans="1:4" x14ac:dyDescent="0.2">
      <c r="A57" s="20"/>
      <c r="B57" s="23"/>
      <c r="C57" s="24"/>
      <c r="D57" s="7"/>
    </row>
    <row r="58" spans="1:4" x14ac:dyDescent="0.2">
      <c r="A58" s="20"/>
      <c r="B58" s="2"/>
      <c r="C58" s="3" t="s">
        <v>9</v>
      </c>
      <c r="D58" s="8">
        <f>SUM(D55:D57)</f>
        <v>0</v>
      </c>
    </row>
    <row r="59" spans="1:4" x14ac:dyDescent="0.2">
      <c r="A59" s="19">
        <v>45670</v>
      </c>
      <c r="B59" s="21"/>
      <c r="C59" s="22"/>
      <c r="D59" s="6"/>
    </row>
    <row r="60" spans="1:4" x14ac:dyDescent="0.2">
      <c r="A60" s="20"/>
      <c r="B60" s="23"/>
      <c r="C60" s="24"/>
      <c r="D60" s="7"/>
    </row>
    <row r="61" spans="1:4" x14ac:dyDescent="0.2">
      <c r="A61" s="20"/>
      <c r="B61" s="23"/>
      <c r="C61" s="24"/>
      <c r="D61" s="7"/>
    </row>
    <row r="62" spans="1:4" x14ac:dyDescent="0.2">
      <c r="A62" s="20"/>
      <c r="B62" s="2"/>
      <c r="C62" s="3" t="s">
        <v>9</v>
      </c>
      <c r="D62" s="8">
        <f>SUM(D59:D61)</f>
        <v>0</v>
      </c>
    </row>
    <row r="63" spans="1:4" x14ac:dyDescent="0.2">
      <c r="A63" s="25" t="s">
        <v>10</v>
      </c>
      <c r="B63" s="26"/>
      <c r="C63" s="10" t="s">
        <v>11</v>
      </c>
      <c r="D63" s="11">
        <f>SUM(D54,D58,D62)</f>
        <v>0</v>
      </c>
    </row>
    <row r="65" spans="3:4" x14ac:dyDescent="0.2">
      <c r="C65" s="12" t="s">
        <v>12</v>
      </c>
      <c r="D65" s="9">
        <f>D13+D24+D35+D49+D63</f>
        <v>27</v>
      </c>
    </row>
  </sheetData>
  <mergeCells count="59">
    <mergeCell ref="B7:C7"/>
    <mergeCell ref="A6:A8"/>
    <mergeCell ref="A1:D1"/>
    <mergeCell ref="B4:C5"/>
    <mergeCell ref="B6:C6"/>
    <mergeCell ref="A4:A5"/>
    <mergeCell ref="A2:D2"/>
    <mergeCell ref="B31:C31"/>
    <mergeCell ref="B33:C33"/>
    <mergeCell ref="A31:A34"/>
    <mergeCell ref="B26:C26"/>
    <mergeCell ref="B27:C27"/>
    <mergeCell ref="B29:C29"/>
    <mergeCell ref="B32:C32"/>
    <mergeCell ref="A13:B13"/>
    <mergeCell ref="A14:D14"/>
    <mergeCell ref="A15:A18"/>
    <mergeCell ref="A9:A12"/>
    <mergeCell ref="B9:C9"/>
    <mergeCell ref="B10:C10"/>
    <mergeCell ref="B15:C17"/>
    <mergeCell ref="B11:C11"/>
    <mergeCell ref="A19:A23"/>
    <mergeCell ref="B19:C19"/>
    <mergeCell ref="B21:C21"/>
    <mergeCell ref="B22:C22"/>
    <mergeCell ref="B20:C20"/>
    <mergeCell ref="A25:D25"/>
    <mergeCell ref="A24:B24"/>
    <mergeCell ref="A26:A30"/>
    <mergeCell ref="A35:B35"/>
    <mergeCell ref="A36:D36"/>
    <mergeCell ref="A37:A40"/>
    <mergeCell ref="B37:C37"/>
    <mergeCell ref="B38:C38"/>
    <mergeCell ref="B39:C39"/>
    <mergeCell ref="A49:B49"/>
    <mergeCell ref="A50:D50"/>
    <mergeCell ref="A41:A44"/>
    <mergeCell ref="B41:C41"/>
    <mergeCell ref="B42:C42"/>
    <mergeCell ref="B43:C43"/>
    <mergeCell ref="A45:A48"/>
    <mergeCell ref="B45:C45"/>
    <mergeCell ref="B46:C46"/>
    <mergeCell ref="B47:C47"/>
    <mergeCell ref="A51:A54"/>
    <mergeCell ref="B52:C52"/>
    <mergeCell ref="A55:A58"/>
    <mergeCell ref="B56:C56"/>
    <mergeCell ref="B57:C57"/>
    <mergeCell ref="B51:C51"/>
    <mergeCell ref="B53:C53"/>
    <mergeCell ref="B55:C55"/>
    <mergeCell ref="A59:A62"/>
    <mergeCell ref="B59:C59"/>
    <mergeCell ref="B60:C60"/>
    <mergeCell ref="B61:C61"/>
    <mergeCell ref="A63:B63"/>
  </mergeCells>
  <conditionalFormatting sqref="D26:D34 D15:D23 D6:D12">
    <cfRule type="containsText" dxfId="7" priority="31" operator="containsText" text="Terminé">
      <formula>NOT(ISERROR(SEARCH("Terminé",D6)))</formula>
    </cfRule>
    <cfRule type="containsText" dxfId="6" priority="32" operator="containsText" text="En cours">
      <formula>NOT(ISERROR(SEARCH("En cours",D6)))</formula>
    </cfRule>
  </conditionalFormatting>
  <conditionalFormatting sqref="D37:D48">
    <cfRule type="containsText" dxfId="5" priority="3" operator="containsText" text="Terminé">
      <formula>NOT(ISERROR(SEARCH("Terminé",D37)))</formula>
    </cfRule>
    <cfRule type="containsText" dxfId="4" priority="4" operator="containsText" text="En cours">
      <formula>NOT(ISERROR(SEARCH("En cours",D37)))</formula>
    </cfRule>
  </conditionalFormatting>
  <conditionalFormatting sqref="D51:D62">
    <cfRule type="containsText" dxfId="3" priority="1" operator="containsText" text="Terminé">
      <formula>NOT(ISERROR(SEARCH("Terminé",D51)))</formula>
    </cfRule>
    <cfRule type="containsText" dxfId="2" priority="2" operator="containsText" text="En cours">
      <formula>NOT(ISERROR(SEARCH("En cours",D51)))</formula>
    </cfRule>
  </conditionalFormatting>
  <conditionalFormatting sqref="D65">
    <cfRule type="containsText" dxfId="1" priority="9" operator="containsText" text="Terminé">
      <formula>NOT(ISERROR(SEARCH("Terminé",D65)))</formula>
    </cfRule>
    <cfRule type="containsText" dxfId="0" priority="10" operator="containsText" text="En cours">
      <formula>NOT(ISERROR(SEARCH("En cours",D65)))</formula>
    </cfRule>
  </conditionalFormatting>
  <printOptions horizontalCentered="1"/>
  <pageMargins left="0.28999999999999998" right="0.15748031496062992" top="0.82" bottom="0.43307086614173229" header="0.31496062992125984" footer="0.19685039370078741"/>
  <pageSetup paperSize="9" orientation="portrait" r:id="rId1"/>
  <headerFooter alignWithMargins="0">
    <oddHeader>&amp;L&amp;"Arial,Gras"&amp;14&amp;K00A4DBEMF-Informatique&amp;K000000
&amp;"Arial,Normal"&amp;12Phase de professionnalisation&amp;R&amp;"Arial,Gras"&amp;14EMF - Fribourg / Freiburg</oddHeader>
    <oddFooter>&amp;L&amp;8&amp;F&amp;R&amp;8Page &amp;P/&amp;N</oddFooter>
  </headerFooter>
  <rowBreaks count="1" manualBreakCount="1">
    <brk id="25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ED870E36F6F4C976CEAC6988F82A5" ma:contentTypeVersion="37" ma:contentTypeDescription="Crée un document." ma:contentTypeScope="" ma:versionID="3169f06de23f2334ced166a676265d3f">
  <xsd:schema xmlns:xsd="http://www.w3.org/2001/XMLSchema" xmlns:xs="http://www.w3.org/2001/XMLSchema" xmlns:p="http://schemas.microsoft.com/office/2006/metadata/properties" xmlns:ns2="32d4d717-cd3a-4b3d-8168-24cfd96cd6ea" xmlns:ns3="5cbbe46b-cb1d-4e56-8c99-5e3dbfb293e5" targetNamespace="http://schemas.microsoft.com/office/2006/metadata/properties" ma:root="true" ma:fieldsID="eab9665bb0af9cfdaba242b84d69e760" ns2:_="" ns3:_="">
    <xsd:import namespace="32d4d717-cd3a-4b3d-8168-24cfd96cd6ea"/>
    <xsd:import namespace="5cbbe46b-cb1d-4e56-8c99-5e3dbfb293e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angue" minOccurs="0"/>
                <xsd:element ref="ns2:Grou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4d717-cd3a-4b3d-8168-24cfd96cd6ea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ngue" ma:index="43" nillable="true" ma:displayName="Langue" ma:default="FD = français voie bili" ma:description="F = Français&#10;D = Deutsch&#10;DF = deutsch voie bili&#10;FD = français voie bili" ma:format="Dropdown" ma:internalName="Langue">
      <xsd:simpleType>
        <xsd:restriction base="dms:Text">
          <xsd:maxLength value="255"/>
        </xsd:restriction>
      </xsd:simpleType>
    </xsd:element>
    <xsd:element name="Groupe" ma:index="44" nillable="true" ma:displayName="Groupe" ma:description="Numéro du groupe de deux personnes" ma:format="Dropdown" ma:internalName="Group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be46b-cb1d-4e56-8c99-5e3dbfb293e5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1733f708-4d36-4008-a0be-686484e76be2}" ma:internalName="TaxCatchAll" ma:showField="CatchAllData" ma:web="5cbbe46b-cb1d-4e56-8c99-5e3dbfb29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32d4d717-cd3a-4b3d-8168-24cfd96cd6ea" xsi:nil="true"/>
    <Invited_Students xmlns="32d4d717-cd3a-4b3d-8168-24cfd96cd6ea" xsi:nil="true"/>
    <Owner xmlns="32d4d717-cd3a-4b3d-8168-24cfd96cd6ea">
      <UserInfo>
        <DisplayName/>
        <AccountId xsi:nil="true"/>
        <AccountType/>
      </UserInfo>
    </Owner>
    <Teams_Channel_Section_Location xmlns="32d4d717-cd3a-4b3d-8168-24cfd96cd6ea" xsi:nil="true"/>
    <DefaultSectionNames xmlns="32d4d717-cd3a-4b3d-8168-24cfd96cd6ea" xsi:nil="true"/>
    <TeamsChannelId xmlns="32d4d717-cd3a-4b3d-8168-24cfd96cd6ea" xsi:nil="true"/>
    <Invited_Teachers xmlns="32d4d717-cd3a-4b3d-8168-24cfd96cd6ea" xsi:nil="true"/>
    <FolderType xmlns="32d4d717-cd3a-4b3d-8168-24cfd96cd6ea" xsi:nil="true"/>
    <CultureName xmlns="32d4d717-cd3a-4b3d-8168-24cfd96cd6ea" xsi:nil="true"/>
    <Student_Groups xmlns="32d4d717-cd3a-4b3d-8168-24cfd96cd6ea">
      <UserInfo>
        <DisplayName/>
        <AccountId xsi:nil="true"/>
        <AccountType/>
      </UserInfo>
    </Student_Groups>
    <Self_Registration_Enabled xmlns="32d4d717-cd3a-4b3d-8168-24cfd96cd6ea" xsi:nil="true"/>
    <Is_Collaboration_Space_Locked xmlns="32d4d717-cd3a-4b3d-8168-24cfd96cd6ea" xsi:nil="true"/>
    <Teachers xmlns="32d4d717-cd3a-4b3d-8168-24cfd96cd6ea">
      <UserInfo>
        <DisplayName/>
        <AccountId xsi:nil="true"/>
        <AccountType/>
      </UserInfo>
    </Teachers>
    <Students xmlns="32d4d717-cd3a-4b3d-8168-24cfd96cd6ea">
      <UserInfo>
        <DisplayName/>
        <AccountId xsi:nil="true"/>
        <AccountType/>
      </UserInfo>
    </Students>
    <lcf76f155ced4ddcb4097134ff3c332f xmlns="32d4d717-cd3a-4b3d-8168-24cfd96cd6ea">
      <Terms xmlns="http://schemas.microsoft.com/office/infopath/2007/PartnerControls"/>
    </lcf76f155ced4ddcb4097134ff3c332f>
    <Templates xmlns="32d4d717-cd3a-4b3d-8168-24cfd96cd6ea" xsi:nil="true"/>
    <LMS_Mappings xmlns="32d4d717-cd3a-4b3d-8168-24cfd96cd6ea" xsi:nil="true"/>
    <IsNotebookLocked xmlns="32d4d717-cd3a-4b3d-8168-24cfd96cd6ea" xsi:nil="true"/>
    <NotebookType xmlns="32d4d717-cd3a-4b3d-8168-24cfd96cd6ea" xsi:nil="true"/>
    <Distribution_Groups xmlns="32d4d717-cd3a-4b3d-8168-24cfd96cd6ea" xsi:nil="true"/>
    <Math_Settings xmlns="32d4d717-cd3a-4b3d-8168-24cfd96cd6ea" xsi:nil="true"/>
    <Has_Teacher_Only_SectionGroup xmlns="32d4d717-cd3a-4b3d-8168-24cfd96cd6ea" xsi:nil="true"/>
    <TaxCatchAll xmlns="5cbbe46b-cb1d-4e56-8c99-5e3dbfb293e5" xsi:nil="true"/>
    <SharedWithUsers xmlns="5cbbe46b-cb1d-4e56-8c99-5e3dbfb293e5">
      <UserInfo>
        <DisplayName/>
        <AccountId xsi:nil="true"/>
        <AccountType/>
      </UserInfo>
    </SharedWithUsers>
    <MediaLengthInSeconds xmlns="32d4d717-cd3a-4b3d-8168-24cfd96cd6ea" xsi:nil="true"/>
    <Groupe xmlns="32d4d717-cd3a-4b3d-8168-24cfd96cd6ea" xsi:nil="true"/>
    <Langue xmlns="32d4d717-cd3a-4b3d-8168-24cfd96cd6ea">FD = français voie bili</Langue>
  </documentManagement>
</p:properties>
</file>

<file path=customXml/itemProps1.xml><?xml version="1.0" encoding="utf-8"?>
<ds:datastoreItem xmlns:ds="http://schemas.openxmlformats.org/officeDocument/2006/customXml" ds:itemID="{CA445AE9-3816-4E66-9DE6-AF42B066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4d717-cd3a-4b3d-8168-24cfd96cd6ea"/>
    <ds:schemaRef ds:uri="5cbbe46b-cb1d-4e56-8c99-5e3dbfb29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0F71E-9B9F-4628-8A94-D320BA80A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574440-4762-4322-B305-C51AEF435DC1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32d4d717-cd3a-4b3d-8168-24cfd96cd6ea"/>
    <ds:schemaRef ds:uri="http://purl.org/dc/dcmitype/"/>
    <ds:schemaRef ds:uri="http://purl.org/dc/terms/"/>
    <ds:schemaRef ds:uri="http://schemas.openxmlformats.org/package/2006/metadata/core-properties"/>
    <ds:schemaRef ds:uri="5cbbe46b-cb1d-4e56-8c99-5e3dbfb293e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</vt:lpstr>
      <vt:lpstr>Journal!Impression_des_titres</vt:lpstr>
      <vt:lpstr>Journal!Zone_d_impression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Hertig Axelle</cp:lastModifiedBy>
  <cp:revision/>
  <dcterms:created xsi:type="dcterms:W3CDTF">2002-03-11T12:50:08Z</dcterms:created>
  <dcterms:modified xsi:type="dcterms:W3CDTF">2026-01-05T08:17:47Z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0x010100280ED870E36F6F4C976CEAC6988F82A5</vt:lpwstr>
  </property>
  <property fmtid="{D5CDD505-2E9C-101B-9397-08002B2CF9AE}" pid="3" name="Order">
    <vt:r8>4324500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